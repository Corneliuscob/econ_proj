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Ngai_\Downloads\"/>
    </mc:Choice>
  </mc:AlternateContent>
  <xr:revisionPtr revIDLastSave="0" documentId="13_ncr:1_{3E14DBD8-14EA-4763-8348-AD6125B3EB48}" xr6:coauthVersionLast="36" xr6:coauthVersionMax="36" xr10:uidLastSave="{00000000-0000-0000-0000-000000000000}"/>
  <bookViews>
    <workbookView xWindow="0" yWindow="0" windowWidth="21570" windowHeight="8060" activeTab="1" xr2:uid="{00000000-000D-0000-FFFF-FFFF00000000}"/>
    <workbookView xWindow="0" yWindow="0" windowWidth="19200" windowHeight="6580" activeTab="2" xr2:uid="{DAE0EF47-5BA7-451C-95D5-F34E82F155A2}"/>
  </bookViews>
  <sheets>
    <sheet name="Initial Variables" sheetId="1" r:id="rId1"/>
    <sheet name="CashFlow &amp; MARR" sheetId="2" r:id="rId2"/>
    <sheet name="Extra Calcs" sheetId="5" r:id="rId3"/>
  </sheets>
  <externalReferences>
    <externalReference r:id="rId4"/>
  </externalReferences>
  <definedNames>
    <definedName name="_costSub">'Initial Variables'!$B$8</definedName>
    <definedName name="_LTD">'Initial Variables'!$B$3</definedName>
    <definedName name="_numsubs">'Initial Variables'!$B$7</definedName>
    <definedName name="_rate_of_growt">'Initial Variables'!$B$2</definedName>
    <definedName name="_rate_of_growth">'Initial Variables'!$B$2</definedName>
    <definedName name="_salePrice">'Extra Calcs'!$L$13</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3" i="5" l="1"/>
  <c r="N4" i="5"/>
  <c r="L5" i="5"/>
  <c r="N5" i="5"/>
  <c r="N6" i="5"/>
  <c r="N7" i="5"/>
  <c r="L8" i="5"/>
  <c r="N8" i="5"/>
  <c r="M12" i="5"/>
  <c r="N12" i="5" s="1"/>
  <c r="L13" i="5"/>
  <c r="L15" i="5"/>
  <c r="N15" i="5"/>
  <c r="N19" i="5"/>
  <c r="N20" i="5"/>
  <c r="D3" i="5"/>
  <c r="L28" i="5"/>
  <c r="L31" i="5" s="1"/>
  <c r="L33" i="5" s="1"/>
  <c r="L34" i="5" s="1"/>
  <c r="B22" i="5"/>
  <c r="B23" i="5" s="1"/>
  <c r="E26" i="5"/>
  <c r="AO5" i="2"/>
  <c r="A3" i="2"/>
  <c r="B6" i="1"/>
  <c r="AO7" i="2"/>
  <c r="D27" i="5" l="1"/>
  <c r="D33" i="5"/>
  <c r="D37" i="5"/>
  <c r="D41" i="5"/>
  <c r="D45" i="5"/>
  <c r="D49" i="5"/>
  <c r="D53" i="5"/>
  <c r="D57" i="5"/>
  <c r="D61" i="5"/>
  <c r="D65" i="5"/>
  <c r="D69" i="5"/>
  <c r="D73" i="5"/>
  <c r="D77" i="5"/>
  <c r="D81" i="5"/>
  <c r="D85" i="5"/>
  <c r="D32" i="5"/>
  <c r="D40" i="5"/>
  <c r="D48" i="5"/>
  <c r="D52" i="5"/>
  <c r="D64" i="5"/>
  <c r="D72" i="5"/>
  <c r="D84" i="5"/>
  <c r="D34" i="5"/>
  <c r="D38" i="5"/>
  <c r="D42" i="5"/>
  <c r="D46" i="5"/>
  <c r="D50" i="5"/>
  <c r="D54" i="5"/>
  <c r="D58" i="5"/>
  <c r="D62" i="5"/>
  <c r="D66" i="5"/>
  <c r="D70" i="5"/>
  <c r="D74" i="5"/>
  <c r="D78" i="5"/>
  <c r="D82" i="5"/>
  <c r="D86" i="5"/>
  <c r="D36" i="5"/>
  <c r="D60" i="5"/>
  <c r="D76" i="5"/>
  <c r="D35" i="5"/>
  <c r="D39" i="5"/>
  <c r="D43" i="5"/>
  <c r="D47" i="5"/>
  <c r="D51" i="5"/>
  <c r="D55" i="5"/>
  <c r="D59" i="5"/>
  <c r="D63" i="5"/>
  <c r="D67" i="5"/>
  <c r="D71" i="5"/>
  <c r="D75" i="5"/>
  <c r="D79" i="5"/>
  <c r="D83" i="5"/>
  <c r="D44" i="5"/>
  <c r="D56" i="5"/>
  <c r="D68" i="5"/>
  <c r="D80" i="5"/>
  <c r="B27" i="5"/>
  <c r="M13" i="5"/>
  <c r="M14" i="5" s="1"/>
  <c r="N14" i="5" s="1"/>
  <c r="N13" i="5"/>
  <c r="C27" i="5"/>
  <c r="D28" i="5"/>
  <c r="D31" i="5"/>
  <c r="D30" i="5"/>
  <c r="D29" i="5"/>
  <c r="E27" i="5" l="1"/>
  <c r="B28" i="5" l="1"/>
  <c r="C28" i="5" l="1"/>
  <c r="E28" i="5" l="1"/>
  <c r="B29" i="5" l="1"/>
  <c r="C29" i="5" l="1"/>
  <c r="E29" i="5" l="1"/>
  <c r="B30" i="5" l="1"/>
  <c r="C30" i="5" l="1"/>
  <c r="E30" i="5" l="1"/>
  <c r="B31" i="5" l="1"/>
  <c r="C31" i="5" l="1"/>
  <c r="E31" i="5" l="1"/>
  <c r="B32" i="5" l="1"/>
  <c r="C32" i="5" s="1"/>
  <c r="E32" i="5" s="1"/>
  <c r="B33" i="5" l="1"/>
  <c r="C33" i="5" s="1"/>
  <c r="E33" i="5" s="1"/>
  <c r="B34" i="5" l="1"/>
  <c r="C34" i="5" s="1"/>
  <c r="E34" i="5" s="1"/>
  <c r="B35" i="5" l="1"/>
  <c r="C35" i="5" s="1"/>
  <c r="E35" i="5" s="1"/>
  <c r="B36" i="5" l="1"/>
  <c r="C36" i="5" s="1"/>
  <c r="E36" i="5" s="1"/>
  <c r="B37" i="5" l="1"/>
  <c r="C37" i="5" s="1"/>
  <c r="E37" i="5" s="1"/>
  <c r="B38" i="5" l="1"/>
  <c r="C38" i="5" l="1"/>
  <c r="B4" i="5"/>
  <c r="C4" i="5" l="1"/>
  <c r="E38" i="5"/>
  <c r="F4" i="5"/>
  <c r="D4" i="5" l="1"/>
  <c r="B39" i="5"/>
  <c r="C39" i="5" l="1"/>
  <c r="E39" i="5" l="1"/>
  <c r="B40" i="5" l="1"/>
  <c r="C40" i="5" l="1"/>
  <c r="E40" i="5" l="1"/>
  <c r="B41" i="5" l="1"/>
  <c r="C41" i="5" l="1"/>
  <c r="E41" i="5" l="1"/>
  <c r="B42" i="5" l="1"/>
  <c r="C42" i="5" l="1"/>
  <c r="E42" i="5" l="1"/>
  <c r="B43" i="5" l="1"/>
  <c r="C43" i="5" l="1"/>
  <c r="E43" i="5" l="1"/>
  <c r="B44" i="5" l="1"/>
  <c r="C44" i="5" s="1"/>
  <c r="E44" i="5" s="1"/>
  <c r="B45" i="5" l="1"/>
  <c r="C45" i="5" s="1"/>
  <c r="E45" i="5" s="1"/>
  <c r="B46" i="5" l="1"/>
  <c r="C46" i="5" s="1"/>
  <c r="E46" i="5" s="1"/>
  <c r="B47" i="5" l="1"/>
  <c r="C47" i="5" s="1"/>
  <c r="E47" i="5" s="1"/>
  <c r="B48" i="5" l="1"/>
  <c r="C48" i="5" s="1"/>
  <c r="E48" i="5" s="1"/>
  <c r="B49" i="5" l="1"/>
  <c r="C49" i="5" s="1"/>
  <c r="E49" i="5" s="1"/>
  <c r="B50" i="5" l="1"/>
  <c r="C50" i="5" l="1"/>
  <c r="B5" i="5"/>
  <c r="C5" i="5" l="1"/>
  <c r="E50" i="5"/>
  <c r="B51" i="5" l="1"/>
  <c r="D5" i="5"/>
  <c r="F5" i="5"/>
  <c r="C51" i="5" l="1"/>
  <c r="E51" i="5" l="1"/>
  <c r="B52" i="5" l="1"/>
  <c r="C52" i="5" l="1"/>
  <c r="E52" i="5" l="1"/>
  <c r="B53" i="5" l="1"/>
  <c r="C53" i="5" l="1"/>
  <c r="E53" i="5" l="1"/>
  <c r="B54" i="5" l="1"/>
  <c r="C54" i="5" l="1"/>
  <c r="E54" i="5" l="1"/>
  <c r="B55" i="5" l="1"/>
  <c r="C55" i="5" l="1"/>
  <c r="E55" i="5" l="1"/>
  <c r="B56" i="5" l="1"/>
  <c r="C56" i="5" s="1"/>
  <c r="E56" i="5" s="1"/>
  <c r="B57" i="5" l="1"/>
  <c r="C57" i="5" s="1"/>
  <c r="E57" i="5" s="1"/>
  <c r="B58" i="5" l="1"/>
  <c r="C58" i="5" s="1"/>
  <c r="E58" i="5" s="1"/>
  <c r="B59" i="5" l="1"/>
  <c r="C59" i="5" s="1"/>
  <c r="E59" i="5" s="1"/>
  <c r="B60" i="5" l="1"/>
  <c r="C60" i="5" s="1"/>
  <c r="E60" i="5" s="1"/>
  <c r="B61" i="5" l="1"/>
  <c r="C61" i="5" s="1"/>
  <c r="E61" i="5" s="1"/>
  <c r="B62" i="5" l="1"/>
  <c r="C62" i="5" l="1"/>
  <c r="B6" i="5"/>
  <c r="C6" i="5" l="1"/>
  <c r="E62" i="5"/>
  <c r="D6" i="5" l="1"/>
  <c r="B63" i="5"/>
  <c r="F6" i="5"/>
  <c r="C63" i="5" l="1"/>
  <c r="E63" i="5" l="1"/>
  <c r="B64" i="5" l="1"/>
  <c r="C64" i="5" l="1"/>
  <c r="E64" i="5" l="1"/>
  <c r="B65" i="5" l="1"/>
  <c r="C65" i="5" l="1"/>
  <c r="E65" i="5" l="1"/>
  <c r="B66" i="5" l="1"/>
  <c r="C66" i="5" l="1"/>
  <c r="E66" i="5" l="1"/>
  <c r="B67" i="5" l="1"/>
  <c r="C67" i="5" l="1"/>
  <c r="E67" i="5" l="1"/>
  <c r="B68" i="5" l="1"/>
  <c r="C68" i="5" s="1"/>
  <c r="E68" i="5" s="1"/>
  <c r="B69" i="5" l="1"/>
  <c r="C69" i="5" s="1"/>
  <c r="E69" i="5" s="1"/>
  <c r="B70" i="5" l="1"/>
  <c r="C70" i="5" s="1"/>
  <c r="E70" i="5" s="1"/>
  <c r="B71" i="5" l="1"/>
  <c r="C71" i="5" s="1"/>
  <c r="E71" i="5" s="1"/>
  <c r="B72" i="5" l="1"/>
  <c r="C72" i="5" s="1"/>
  <c r="E72" i="5" s="1"/>
  <c r="B73" i="5" l="1"/>
  <c r="C73" i="5" s="1"/>
  <c r="E73" i="5" s="1"/>
  <c r="B74" i="5" l="1"/>
  <c r="C74" i="5" l="1"/>
  <c r="B7" i="5"/>
  <c r="C7" i="5" l="1"/>
  <c r="E74" i="5"/>
  <c r="D7" i="5" l="1"/>
  <c r="B75" i="5"/>
  <c r="F7" i="5"/>
  <c r="C75" i="5" l="1"/>
  <c r="E75" i="5" l="1"/>
  <c r="B76" i="5" l="1"/>
  <c r="C76" i="5" l="1"/>
  <c r="E76" i="5" l="1"/>
  <c r="B77" i="5" l="1"/>
  <c r="C77" i="5" l="1"/>
  <c r="E77" i="5" l="1"/>
  <c r="B78" i="5" l="1"/>
  <c r="C78" i="5" l="1"/>
  <c r="E78" i="5" l="1"/>
  <c r="B79" i="5" l="1"/>
  <c r="C79" i="5" l="1"/>
  <c r="E79" i="5" l="1"/>
  <c r="B80" i="5" l="1"/>
  <c r="C80" i="5" s="1"/>
  <c r="E80" i="5" s="1"/>
  <c r="B81" i="5" l="1"/>
  <c r="C81" i="5" s="1"/>
  <c r="E81" i="5" s="1"/>
  <c r="B82" i="5" l="1"/>
  <c r="C82" i="5" s="1"/>
  <c r="E82" i="5" s="1"/>
  <c r="B83" i="5" l="1"/>
  <c r="C83" i="5" s="1"/>
  <c r="E83" i="5" s="1"/>
  <c r="B84" i="5" l="1"/>
  <c r="C84" i="5" s="1"/>
  <c r="E84" i="5" s="1"/>
  <c r="B85" i="5" l="1"/>
  <c r="C85" i="5" s="1"/>
  <c r="E85" i="5" s="1"/>
  <c r="B86" i="5" l="1"/>
  <c r="C86" i="5" l="1"/>
  <c r="B88" i="5"/>
  <c r="B8" i="5"/>
  <c r="B9" i="5" l="1"/>
  <c r="C88" i="5"/>
  <c r="B89" i="5" s="1"/>
  <c r="C8" i="5"/>
  <c r="E86" i="5"/>
  <c r="C9" i="5" l="1"/>
  <c r="B10" i="5" s="1"/>
  <c r="D8" i="5"/>
  <c r="F8" i="5"/>
  <c r="I15" i="2" l="1"/>
  <c r="I16" i="2" l="1"/>
  <c r="I17" i="2"/>
  <c r="I18" i="2"/>
  <c r="I19" i="2"/>
  <c r="I20" i="2"/>
  <c r="I21" i="2"/>
  <c r="I22" i="2"/>
  <c r="I6" i="2"/>
  <c r="Y3" i="2" l="1"/>
  <c r="M22" i="2" l="1"/>
  <c r="M14" i="2"/>
  <c r="I3" i="2" l="1"/>
  <c r="C3" i="2"/>
  <c r="A4" i="2"/>
  <c r="C4" i="2" s="1"/>
  <c r="N22" i="2" l="1"/>
  <c r="G3" i="2"/>
  <c r="S14" i="2"/>
  <c r="N12" i="2"/>
  <c r="I4" i="2"/>
  <c r="I5" i="2"/>
  <c r="I7" i="2"/>
  <c r="I8" i="2"/>
  <c r="I9" i="2"/>
  <c r="I10" i="2"/>
  <c r="I11" i="2"/>
  <c r="I12" i="2"/>
  <c r="I13" i="2"/>
  <c r="I14" i="2"/>
  <c r="E3" i="2"/>
  <c r="D3" i="2"/>
  <c r="G4" i="2" l="1"/>
  <c r="Y4" i="2"/>
  <c r="A5" i="2" l="1"/>
  <c r="D5" i="2" s="1"/>
  <c r="E4" i="2"/>
  <c r="D4" i="2"/>
  <c r="G5" i="2" l="1"/>
  <c r="C5" i="2"/>
  <c r="Y5" i="2"/>
  <c r="A6" i="2"/>
  <c r="E5" i="2"/>
  <c r="L12" i="2"/>
  <c r="F4" i="2"/>
  <c r="J4" i="2" s="1"/>
  <c r="K4" i="2" s="1"/>
  <c r="S3" i="2"/>
  <c r="S4" i="2"/>
  <c r="S5" i="2"/>
  <c r="S6" i="2"/>
  <c r="S7" i="2"/>
  <c r="S8" i="2"/>
  <c r="S9" i="2"/>
  <c r="S10" i="2"/>
  <c r="S11" i="2"/>
  <c r="S12" i="2"/>
  <c r="S13" i="2"/>
  <c r="S15" i="2"/>
  <c r="S16" i="2"/>
  <c r="S17" i="2"/>
  <c r="S18" i="2"/>
  <c r="S19" i="2"/>
  <c r="S20" i="2"/>
  <c r="S21" i="2"/>
  <c r="S2" i="2"/>
  <c r="K2" i="2" l="1"/>
  <c r="X2" i="2" s="1"/>
  <c r="AB2" i="2" s="1"/>
  <c r="L14" i="2"/>
  <c r="M68" i="2" s="1"/>
  <c r="G6" i="2"/>
  <c r="C6" i="2"/>
  <c r="Y6" i="2"/>
  <c r="M66" i="2"/>
  <c r="F9" i="2"/>
  <c r="F17" i="2"/>
  <c r="F11" i="2"/>
  <c r="F19" i="2"/>
  <c r="F6" i="2"/>
  <c r="F14" i="2"/>
  <c r="F22" i="2"/>
  <c r="F7" i="2"/>
  <c r="F16" i="2"/>
  <c r="F10" i="2"/>
  <c r="F18" i="2"/>
  <c r="F3" i="2"/>
  <c r="J3" i="2" s="1"/>
  <c r="K3" i="2" s="1"/>
  <c r="F12" i="2"/>
  <c r="F20" i="2"/>
  <c r="F5" i="2"/>
  <c r="J5" i="2" s="1"/>
  <c r="K5" i="2" s="1"/>
  <c r="F13" i="2"/>
  <c r="F21" i="2"/>
  <c r="F15" i="2"/>
  <c r="F8" i="2"/>
  <c r="A7" i="2"/>
  <c r="D6" i="2"/>
  <c r="E6" i="2"/>
  <c r="P2" i="2"/>
  <c r="R3" i="2" s="1"/>
  <c r="P3" i="2" s="1"/>
  <c r="R4" i="2" s="1"/>
  <c r="P4" i="2" s="1"/>
  <c r="O2" i="2"/>
  <c r="AK2" i="2" l="1"/>
  <c r="AL2" i="2"/>
  <c r="Q3" i="2"/>
  <c r="T3" i="2" s="1"/>
  <c r="J6" i="2"/>
  <c r="K6" i="2" s="1"/>
  <c r="G7" i="2"/>
  <c r="C7" i="2"/>
  <c r="Y7" i="2"/>
  <c r="A8" i="2"/>
  <c r="E7" i="2"/>
  <c r="D7" i="2"/>
  <c r="R5" i="2"/>
  <c r="P5" i="2" s="1"/>
  <c r="R6" i="2" s="1"/>
  <c r="P6" i="2" s="1"/>
  <c r="R7" i="2" s="1"/>
  <c r="P7" i="2" s="1"/>
  <c r="O3" i="2" l="1"/>
  <c r="Q4" i="2" s="1"/>
  <c r="T4" i="2" s="1"/>
  <c r="J7" i="2"/>
  <c r="K7" i="2" s="1"/>
  <c r="AA2" i="2"/>
  <c r="AJ2" i="2" s="1"/>
  <c r="G8" i="2"/>
  <c r="C8" i="2"/>
  <c r="A9" i="2"/>
  <c r="Y8" i="2"/>
  <c r="D8" i="2"/>
  <c r="E8" i="2"/>
  <c r="R8" i="2"/>
  <c r="P8" i="2" s="1"/>
  <c r="J8" i="2" l="1"/>
  <c r="K8" i="2" s="1"/>
  <c r="C9" i="2"/>
  <c r="G9" i="2"/>
  <c r="A10" i="2"/>
  <c r="G10" i="2" s="1"/>
  <c r="Y9" i="2"/>
  <c r="D9" i="2"/>
  <c r="E9" i="2"/>
  <c r="O4" i="2"/>
  <c r="Q5" i="2" s="1"/>
  <c r="O5" i="2" s="1"/>
  <c r="Q6" i="2" s="1"/>
  <c r="T6" i="2" s="1"/>
  <c r="R9" i="2"/>
  <c r="P9" i="2" s="1"/>
  <c r="J9" i="2" l="1"/>
  <c r="K9" i="2" s="1"/>
  <c r="V4" i="2"/>
  <c r="V6" i="2"/>
  <c r="X6" i="2" s="1"/>
  <c r="AB6" i="2" s="1"/>
  <c r="C10" i="2"/>
  <c r="T5" i="2"/>
  <c r="A11" i="2"/>
  <c r="E10" i="2"/>
  <c r="Y10" i="2"/>
  <c r="D10" i="2"/>
  <c r="O6" i="2"/>
  <c r="Q7" i="2" s="1"/>
  <c r="R10" i="2"/>
  <c r="P10" i="2" s="1"/>
  <c r="AK6" i="2" l="1"/>
  <c r="AL6" i="2"/>
  <c r="X4" i="2"/>
  <c r="AB4" i="2" s="1"/>
  <c r="W4" i="2"/>
  <c r="J10" i="2"/>
  <c r="K10" i="2" s="1"/>
  <c r="W6" i="2"/>
  <c r="AA6" i="2" s="1"/>
  <c r="AJ6" i="2" s="1"/>
  <c r="V5" i="2"/>
  <c r="X5" i="2" s="1"/>
  <c r="AB5" i="2" s="1"/>
  <c r="G11" i="2"/>
  <c r="C11" i="2"/>
  <c r="A12" i="2"/>
  <c r="E11" i="2"/>
  <c r="D11" i="2"/>
  <c r="Y11" i="2"/>
  <c r="O7" i="2"/>
  <c r="Q8" i="2" s="1"/>
  <c r="T7" i="2"/>
  <c r="R11" i="2"/>
  <c r="P11" i="2" s="1"/>
  <c r="L66" i="2" s="1"/>
  <c r="N66" i="2" s="1"/>
  <c r="O66" i="2" s="1"/>
  <c r="P12" i="2" s="1"/>
  <c r="AK5" i="2" l="1"/>
  <c r="AL5" i="2"/>
  <c r="AL4" i="2"/>
  <c r="AK4" i="2"/>
  <c r="AA4" i="2"/>
  <c r="AJ4" i="2" s="1"/>
  <c r="J11" i="2"/>
  <c r="K11" i="2" s="1"/>
  <c r="W5" i="2"/>
  <c r="AA5" i="2" s="1"/>
  <c r="AJ5" i="2" s="1"/>
  <c r="V7" i="2"/>
  <c r="C12" i="2"/>
  <c r="G12" i="2"/>
  <c r="A13" i="2"/>
  <c r="E12" i="2"/>
  <c r="Y12" i="2"/>
  <c r="D12" i="2"/>
  <c r="O8" i="2"/>
  <c r="Q9" i="2" s="1"/>
  <c r="T8" i="2"/>
  <c r="X7" i="2" l="1"/>
  <c r="AB7" i="2" s="1"/>
  <c r="J12" i="2"/>
  <c r="K12" i="2" s="1"/>
  <c r="V8" i="2"/>
  <c r="X8" i="2" s="1"/>
  <c r="AB8" i="2" s="1"/>
  <c r="W7" i="2"/>
  <c r="AA7" i="2" s="1"/>
  <c r="AJ7" i="2" s="1"/>
  <c r="G13" i="2"/>
  <c r="C13" i="2"/>
  <c r="A14" i="2"/>
  <c r="Y13" i="2"/>
  <c r="E13" i="2"/>
  <c r="D13" i="2"/>
  <c r="O9" i="2"/>
  <c r="Q10" i="2" s="1"/>
  <c r="T9" i="2"/>
  <c r="AL8" i="2" l="1"/>
  <c r="AK8" i="2"/>
  <c r="AL7" i="2"/>
  <c r="AK7" i="2"/>
  <c r="J13" i="2"/>
  <c r="K13" i="2" s="1"/>
  <c r="W8" i="2"/>
  <c r="AA8" i="2" s="1"/>
  <c r="AJ8" i="2" s="1"/>
  <c r="V9" i="2"/>
  <c r="X9" i="2" s="1"/>
  <c r="AB9" i="2" s="1"/>
  <c r="G14" i="2"/>
  <c r="C14" i="2"/>
  <c r="A15" i="2"/>
  <c r="E14" i="2"/>
  <c r="Y14" i="2"/>
  <c r="D14" i="2"/>
  <c r="R12" i="2"/>
  <c r="R13" i="2"/>
  <c r="P13" i="2" s="1"/>
  <c r="R14" i="2" s="1"/>
  <c r="O10" i="2"/>
  <c r="Q11" i="2" s="1"/>
  <c r="T10" i="2"/>
  <c r="AL9" i="2" l="1"/>
  <c r="AK9" i="2"/>
  <c r="J14" i="2"/>
  <c r="K14" i="2" s="1"/>
  <c r="W9" i="2"/>
  <c r="AA9" i="2" s="1"/>
  <c r="AJ9" i="2" s="1"/>
  <c r="V10" i="2"/>
  <c r="X10" i="2" s="1"/>
  <c r="AB10" i="2" s="1"/>
  <c r="C15" i="2"/>
  <c r="G15" i="2"/>
  <c r="A16" i="2"/>
  <c r="Y15" i="2"/>
  <c r="D15" i="2"/>
  <c r="E15" i="2"/>
  <c r="P14" i="2"/>
  <c r="R15" i="2" s="1"/>
  <c r="P15" i="2" s="1"/>
  <c r="O11" i="2"/>
  <c r="T11" i="2"/>
  <c r="AK10" i="2" l="1"/>
  <c r="AL10" i="2"/>
  <c r="J15" i="2"/>
  <c r="K15" i="2" s="1"/>
  <c r="W10" i="2"/>
  <c r="AA10" i="2" s="1"/>
  <c r="AJ10" i="2" s="1"/>
  <c r="V11" i="2"/>
  <c r="X11" i="2" s="1"/>
  <c r="AB11" i="2" s="1"/>
  <c r="C16" i="2"/>
  <c r="G16" i="2"/>
  <c r="A17" i="2"/>
  <c r="D16" i="2"/>
  <c r="E16" i="2"/>
  <c r="Y16" i="2"/>
  <c r="Q12" i="2"/>
  <c r="T12" i="2" s="1"/>
  <c r="R16" i="2"/>
  <c r="P16" i="2" s="1"/>
  <c r="AL11" i="2" l="1"/>
  <c r="AK11" i="2"/>
  <c r="W11" i="2"/>
  <c r="AA11" i="2" s="1"/>
  <c r="AJ11" i="2" s="1"/>
  <c r="V12" i="2"/>
  <c r="W12" i="2" s="1"/>
  <c r="AA12" i="2" s="1"/>
  <c r="AJ12" i="2" s="1"/>
  <c r="J16" i="2"/>
  <c r="K16" i="2" s="1"/>
  <c r="C17" i="2"/>
  <c r="G17" i="2"/>
  <c r="A18" i="2"/>
  <c r="D17" i="2"/>
  <c r="Y17" i="2"/>
  <c r="E17" i="2"/>
  <c r="O12" i="2"/>
  <c r="R17" i="2"/>
  <c r="P17" i="2" s="1"/>
  <c r="X12" i="2" l="1"/>
  <c r="AB12" i="2" s="1"/>
  <c r="J17" i="2"/>
  <c r="K17" i="2" s="1"/>
  <c r="G18" i="2"/>
  <c r="C18" i="2"/>
  <c r="A19" i="2"/>
  <c r="Y18" i="2"/>
  <c r="D18" i="2"/>
  <c r="E18" i="2"/>
  <c r="Q13" i="2"/>
  <c r="T13" i="2" s="1"/>
  <c r="R18" i="2"/>
  <c r="P18" i="2" s="1"/>
  <c r="AL12" i="2" l="1"/>
  <c r="AK12" i="2"/>
  <c r="J18" i="2"/>
  <c r="K18" i="2" s="1"/>
  <c r="V13" i="2"/>
  <c r="X13" i="2" s="1"/>
  <c r="AB13" i="2" s="1"/>
  <c r="G19" i="2"/>
  <c r="C19" i="2"/>
  <c r="A20" i="2"/>
  <c r="Y19" i="2"/>
  <c r="D19" i="2"/>
  <c r="E19" i="2"/>
  <c r="O13" i="2"/>
  <c r="R19" i="2"/>
  <c r="P19" i="2" s="1"/>
  <c r="AL13" i="2" l="1"/>
  <c r="AK13" i="2"/>
  <c r="J19" i="2"/>
  <c r="K19" i="2" s="1"/>
  <c r="W13" i="2"/>
  <c r="AA13" i="2" s="1"/>
  <c r="AJ13" i="2" s="1"/>
  <c r="G20" i="2"/>
  <c r="C20" i="2"/>
  <c r="A21" i="2"/>
  <c r="E20" i="2"/>
  <c r="Y20" i="2"/>
  <c r="D20" i="2"/>
  <c r="L68" i="2"/>
  <c r="R20" i="2"/>
  <c r="P20" i="2" s="1"/>
  <c r="J20" i="2" l="1"/>
  <c r="K20" i="2" s="1"/>
  <c r="G21" i="2"/>
  <c r="C21" i="2"/>
  <c r="N68" i="2"/>
  <c r="O68" i="2" s="1"/>
  <c r="A22" i="2"/>
  <c r="D21" i="2"/>
  <c r="E21" i="2"/>
  <c r="Y21" i="2"/>
  <c r="R21" i="2"/>
  <c r="P21" i="2" s="1"/>
  <c r="Q14" i="2" l="1"/>
  <c r="T14" i="2" s="1"/>
  <c r="V14" i="2" s="1"/>
  <c r="X14" i="2" s="1"/>
  <c r="AB14" i="2" s="1"/>
  <c r="P68" i="2"/>
  <c r="O14" i="2" s="1"/>
  <c r="Q15" i="2" s="1"/>
  <c r="J21" i="2"/>
  <c r="K21" i="2" s="1"/>
  <c r="G22" i="2"/>
  <c r="C22" i="2"/>
  <c r="D22" i="2"/>
  <c r="E22" i="2"/>
  <c r="Y22" i="2"/>
  <c r="R22" i="2"/>
  <c r="P22" i="2" s="1"/>
  <c r="AK14" i="2" l="1"/>
  <c r="AL14" i="2"/>
  <c r="J22" i="2"/>
  <c r="K22" i="2" s="1"/>
  <c r="W14" i="2"/>
  <c r="AA14" i="2" s="1"/>
  <c r="AJ14" i="2" s="1"/>
  <c r="T15" i="2"/>
  <c r="O15" i="2"/>
  <c r="Q16" i="2" s="1"/>
  <c r="T16" i="2" s="1"/>
  <c r="V16" i="2" l="1"/>
  <c r="X16" i="2" s="1"/>
  <c r="AB16" i="2" s="1"/>
  <c r="V15" i="2"/>
  <c r="X15" i="2" s="1"/>
  <c r="AB15" i="2" s="1"/>
  <c r="O16" i="2"/>
  <c r="Q17" i="2" s="1"/>
  <c r="AL15" i="2" l="1"/>
  <c r="AK15" i="2"/>
  <c r="AL16" i="2"/>
  <c r="AK16" i="2"/>
  <c r="W15" i="2"/>
  <c r="AA15" i="2" s="1"/>
  <c r="AJ15" i="2" s="1"/>
  <c r="W16" i="2"/>
  <c r="AA16" i="2" s="1"/>
  <c r="AJ16" i="2" s="1"/>
  <c r="O17" i="2"/>
  <c r="Q18" i="2" s="1"/>
  <c r="T17" i="2"/>
  <c r="V17" i="2" l="1"/>
  <c r="X17" i="2" s="1"/>
  <c r="AB17" i="2" s="1"/>
  <c r="O18" i="2"/>
  <c r="Q19" i="2" s="1"/>
  <c r="T19" i="2" s="1"/>
  <c r="T18" i="2"/>
  <c r="AK17" i="2" l="1"/>
  <c r="AL17" i="2"/>
  <c r="V18" i="2"/>
  <c r="X18" i="2" s="1"/>
  <c r="AB18" i="2" s="1"/>
  <c r="W17" i="2"/>
  <c r="AA17" i="2" s="1"/>
  <c r="AJ17" i="2" s="1"/>
  <c r="O19" i="2"/>
  <c r="Q20" i="2" s="1"/>
  <c r="V19" i="2"/>
  <c r="X19" i="2" s="1"/>
  <c r="AB19" i="2" s="1"/>
  <c r="AL19" i="2" l="1"/>
  <c r="AK19" i="2"/>
  <c r="AK18" i="2"/>
  <c r="AL18" i="2"/>
  <c r="W19" i="2"/>
  <c r="AA19" i="2" s="1"/>
  <c r="AJ19" i="2" s="1"/>
  <c r="W18" i="2"/>
  <c r="AA18" i="2" s="1"/>
  <c r="AJ18" i="2" s="1"/>
  <c r="O20" i="2"/>
  <c r="Q21" i="2" s="1"/>
  <c r="T20" i="2"/>
  <c r="V20" i="2" l="1"/>
  <c r="X20" i="2" s="1"/>
  <c r="AB20" i="2" s="1"/>
  <c r="O21" i="2"/>
  <c r="Q22" i="2" s="1"/>
  <c r="T22" i="2" s="1"/>
  <c r="T21" i="2"/>
  <c r="AL20" i="2" l="1"/>
  <c r="AK20" i="2"/>
  <c r="V21" i="2"/>
  <c r="X21" i="2" s="1"/>
  <c r="AB21" i="2" s="1"/>
  <c r="W20" i="2"/>
  <c r="AA20" i="2" s="1"/>
  <c r="AJ20" i="2" s="1"/>
  <c r="O22" i="2"/>
  <c r="AK21" i="2" l="1"/>
  <c r="AL21" i="2"/>
  <c r="U22" i="2"/>
  <c r="V22" i="2" s="1"/>
  <c r="S22" i="2"/>
  <c r="W21" i="2"/>
  <c r="AA21" i="2" s="1"/>
  <c r="AJ21" i="2" s="1"/>
  <c r="W22" i="2" l="1"/>
  <c r="AA22" i="2" s="1"/>
  <c r="AJ22" i="2" s="1"/>
  <c r="X22" i="2"/>
  <c r="AB22" i="2" s="1"/>
  <c r="AK22" i="2" s="1"/>
  <c r="AL22" i="2" l="1"/>
  <c r="V3" i="2" l="1"/>
  <c r="W3" i="2" s="1"/>
  <c r="AA3" i="2" s="1"/>
  <c r="X3" i="2" l="1"/>
  <c r="AB3" i="2" s="1"/>
  <c r="AJ3" i="2"/>
  <c r="AL3" i="2" l="1"/>
  <c r="AL23" i="2" s="1"/>
  <c r="AK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
  </authors>
  <commentList>
    <comment ref="L12" authorId="0" shapeId="0" xr:uid="{00000000-0006-0000-0100-00000A000000}">
      <text>
        <r>
          <rPr>
            <b/>
            <sz val="9"/>
            <color indexed="81"/>
            <rFont val="Tahoma"/>
            <family val="2"/>
          </rPr>
          <t>%:</t>
        </r>
        <r>
          <rPr>
            <sz val="9"/>
            <color indexed="81"/>
            <rFont val="Tahoma"/>
            <family val="2"/>
          </rPr>
          <t xml:space="preserve">
3 Fridges</t>
        </r>
      </text>
    </comment>
    <comment ref="M66" authorId="1" shapeId="0" xr:uid="{00000000-0006-0000-0100-00000B000000}">
      <text>
        <r>
          <rPr>
            <sz val="10"/>
            <color rgb="FF000000"/>
            <rFont val="Arial"/>
            <family val="2"/>
          </rPr>
          <t>Bit lost here.  Shouldn't the 50% rule apply only to the new equipment?  BV9 = 1218 and it's salvaged for 2000 but we're still book open.. I guess my question is... can you just take the new cost of a fridge and take off the difference from the salvage and only depreciate that at half or do you need to depreciate the entire up front by half and then take into the reclaimed salvage?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2" authorId="0" shapeId="0" xr:uid="{00000000-0006-0000-0200-000001000000}">
      <text>
        <r>
          <rPr>
            <sz val="10"/>
            <color rgb="FF000000"/>
            <rFont val="Arial"/>
            <family val="2"/>
          </rPr>
          <t>https://www.bdc.ca/en/financing/pages/interest-rate-terms-conditions.aspx
	-Colton -</t>
        </r>
      </text>
    </comment>
  </commentList>
</comments>
</file>

<file path=xl/sharedStrings.xml><?xml version="1.0" encoding="utf-8"?>
<sst xmlns="http://schemas.openxmlformats.org/spreadsheetml/2006/main" count="374" uniqueCount="114">
  <si>
    <t>Item</t>
  </si>
  <si>
    <t>Cost (CAD)</t>
  </si>
  <si>
    <t>Qty</t>
  </si>
  <si>
    <t>total</t>
  </si>
  <si>
    <t>Description</t>
  </si>
  <si>
    <t>Vehicle to drive</t>
  </si>
  <si>
    <t xml:space="preserve">car </t>
  </si>
  <si>
    <t>Liquor Primary</t>
  </si>
  <si>
    <t>Refridgeration Unit</t>
  </si>
  <si>
    <t>Office supplies</t>
  </si>
  <si>
    <t>undep b9</t>
  </si>
  <si>
    <t>reduced undep</t>
  </si>
  <si>
    <t>Deprecitaion</t>
  </si>
  <si>
    <t>undep book 11</t>
  </si>
  <si>
    <t>50% rule</t>
  </si>
  <si>
    <t>CCA</t>
  </si>
  <si>
    <t>BV yr12</t>
  </si>
  <si>
    <t>Beer To Buy</t>
  </si>
  <si>
    <t>Bagging</t>
  </si>
  <si>
    <t>Advertising</t>
  </si>
  <si>
    <t>License Renewal</t>
  </si>
  <si>
    <t>Year</t>
  </si>
  <si>
    <t>Wages</t>
  </si>
  <si>
    <t>Salvage Fridge</t>
  </si>
  <si>
    <t>CCA 10 (30%)</t>
  </si>
  <si>
    <t>CCA 8 (20%)</t>
  </si>
  <si>
    <t>Net Salvage</t>
  </si>
  <si>
    <t>Loan Repayment</t>
  </si>
  <si>
    <t>ATCF</t>
  </si>
  <si>
    <t>Market Interest Rate</t>
  </si>
  <si>
    <t xml:space="preserve">Equalized Annual payment </t>
  </si>
  <si>
    <t>Real Interest Rate (Yearly)</t>
  </si>
  <si>
    <t>P * (i*(i+1)**n)/((1+i)**n-1)</t>
  </si>
  <si>
    <t>Real Interest Rate (Monthly)</t>
  </si>
  <si>
    <t>Loan Amt</t>
  </si>
  <si>
    <t>Month</t>
  </si>
  <si>
    <t>Interest Due</t>
  </si>
  <si>
    <t>Repayment</t>
  </si>
  <si>
    <t>Monthly Pay</t>
  </si>
  <si>
    <t>New Val</t>
  </si>
  <si>
    <t>yr</t>
  </si>
  <si>
    <t>interest</t>
  </si>
  <si>
    <t>repay</t>
  </si>
  <si>
    <t>new val</t>
  </si>
  <si>
    <t>annual fee</t>
  </si>
  <si>
    <t>item</t>
  </si>
  <si>
    <t>hours /wk</t>
  </si>
  <si>
    <t>Total</t>
  </si>
  <si>
    <t>planning</t>
  </si>
  <si>
    <t>beer to buy</t>
  </si>
  <si>
    <t>100 6-packs</t>
  </si>
  <si>
    <t xml:space="preserve">Buying </t>
  </si>
  <si>
    <t>beer to deliver</t>
  </si>
  <si>
    <t>100 6 packs to deliver</t>
  </si>
  <si>
    <t>Delivering</t>
  </si>
  <si>
    <t>bagging</t>
  </si>
  <si>
    <t>advertising - fb</t>
  </si>
  <si>
    <t xml:space="preserve">Gas costs </t>
  </si>
  <si>
    <t>wage  / hr</t>
  </si>
  <si>
    <t>total cost</t>
  </si>
  <si>
    <t>Liquor license renewal</t>
  </si>
  <si>
    <t xml:space="preserve">employees </t>
  </si>
  <si>
    <t>total cost/ wk</t>
  </si>
  <si>
    <t>Total / month</t>
  </si>
  <si>
    <t>Total Payment</t>
  </si>
  <si>
    <t>Number of Subscriptions</t>
  </si>
  <si>
    <t>Operating Costs</t>
  </si>
  <si>
    <t>Remaining Principal</t>
  </si>
  <si>
    <t>Principal to Pay</t>
  </si>
  <si>
    <t>Interest to Pay</t>
  </si>
  <si>
    <t>Annual Fee</t>
  </si>
  <si>
    <t>Equipment Purchases</t>
  </si>
  <si>
    <t>Book Value (Car + Office)</t>
  </si>
  <si>
    <t>Book Value (Fridge)</t>
  </si>
  <si>
    <t>Salvage Car</t>
  </si>
  <si>
    <t>Taxable Amount</t>
  </si>
  <si>
    <t>MARR</t>
  </si>
  <si>
    <t>RoR</t>
  </si>
  <si>
    <t>Gas + Insurance</t>
  </si>
  <si>
    <t>Car Insurance</t>
  </si>
  <si>
    <t>Advertising Year 0</t>
  </si>
  <si>
    <t>Sunk Costs</t>
  </si>
  <si>
    <t>Yearly Expenses</t>
  </si>
  <si>
    <t xml:space="preserve">Monthly Expenses </t>
  </si>
  <si>
    <t>Variables</t>
  </si>
  <si>
    <t>Rate of sub growth</t>
  </si>
  <si>
    <t xml:space="preserve">Liters to drive </t>
  </si>
  <si>
    <t xml:space="preserve">MARR </t>
  </si>
  <si>
    <t>Total Repayment (negative)</t>
  </si>
  <si>
    <t>Charitable Donations (negative)</t>
  </si>
  <si>
    <t>Working Capital (negative)</t>
  </si>
  <si>
    <t>Origination Fee (for loan)</t>
  </si>
  <si>
    <t>Retained Earnings</t>
  </si>
  <si>
    <t>Net Profit</t>
  </si>
  <si>
    <t>BTCF</t>
  </si>
  <si>
    <t xml:space="preserve">Tax on Salvage Value </t>
  </si>
  <si>
    <t>Class 8 Dep. Rate</t>
  </si>
  <si>
    <t xml:space="preserve">Class 10 Dep. Rate </t>
  </si>
  <si>
    <t>OC</t>
  </si>
  <si>
    <t>OR</t>
  </si>
  <si>
    <t>net operating funds</t>
  </si>
  <si>
    <t xml:space="preserve">Net operating funds </t>
  </si>
  <si>
    <t>Income Tax</t>
  </si>
  <si>
    <t>NPW @ MARR</t>
  </si>
  <si>
    <t>NPW2 for ROR</t>
  </si>
  <si>
    <t>MARR Calculations</t>
  </si>
  <si>
    <t>Sum</t>
  </si>
  <si>
    <t>Number of subscriptions</t>
  </si>
  <si>
    <t>Cost of Subscription</t>
  </si>
  <si>
    <t xml:space="preserve">our own packaing of the beers </t>
  </si>
  <si>
    <t>liquor license</t>
  </si>
  <si>
    <t>office</t>
  </si>
  <si>
    <t>fridge + racks</t>
  </si>
  <si>
    <t>Wage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</si>
</sst>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color rgb="FF000000"/>
      <name val="Arial"/>
    </font>
    <font>
      <sz val="10"/>
      <name val="Arial"/>
      <family val="2"/>
    </font>
    <font>
      <sz val="10"/>
      <name val="Arial"/>
      <family val="2"/>
    </font>
    <font>
      <sz val="10"/>
      <color rgb="FF000000"/>
      <name val="Arial"/>
      <family val="2"/>
    </font>
    <font>
      <sz val="9"/>
      <color indexed="81"/>
      <name val="Tahoma"/>
      <family val="2"/>
    </font>
    <font>
      <b/>
      <sz val="9"/>
      <color indexed="81"/>
      <name val="Tahoma"/>
      <family val="2"/>
    </font>
    <font>
      <b/>
      <sz val="10"/>
      <color rgb="FF000000"/>
      <name val="Arial"/>
      <family val="2"/>
    </font>
    <font>
      <sz val="11"/>
      <color rgb="FF3F3F76"/>
      <name val="Calibri"/>
      <family val="2"/>
      <scheme val="minor"/>
    </font>
    <font>
      <b/>
      <sz val="10"/>
      <name val="Arial"/>
      <family val="2"/>
    </font>
    <font>
      <b/>
      <sz val="11"/>
      <color rgb="FF000000"/>
      <name val="Arial"/>
      <family val="2"/>
    </font>
    <font>
      <sz val="10"/>
      <color rgb="FF000000"/>
      <name val="Arial"/>
      <family val="2"/>
    </font>
    <font>
      <b/>
      <sz val="9"/>
      <color rgb="FF000000"/>
      <name val="Arial"/>
      <family val="2"/>
    </font>
    <font>
      <sz val="9"/>
      <color rgb="FF000000"/>
      <name val="Arial"/>
      <family val="2"/>
    </font>
  </fonts>
  <fills count="15">
    <fill>
      <patternFill patternType="none"/>
    </fill>
    <fill>
      <patternFill patternType="gray125"/>
    </fill>
    <fill>
      <patternFill patternType="solid">
        <fgColor rgb="FFFFCC99"/>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rgb="FFFAD2D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6" tint="0.79998168889431442"/>
        <bgColor indexed="64"/>
      </patternFill>
    </fill>
  </fills>
  <borders count="28">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rgb="FF000000"/>
      </bottom>
      <diagonal/>
    </border>
    <border>
      <left/>
      <right/>
      <top/>
      <bottom/>
      <diagonal/>
    </border>
    <border>
      <left style="thin">
        <color auto="1"/>
      </left>
      <right style="thin">
        <color auto="1"/>
      </right>
      <top/>
      <bottom/>
      <diagonal/>
    </border>
    <border>
      <left style="thin">
        <color auto="1"/>
      </left>
      <right/>
      <top/>
      <bottom style="thin">
        <color indexed="64"/>
      </bottom>
      <diagonal/>
    </border>
    <border>
      <left style="thin">
        <color auto="1"/>
      </left>
      <right style="thin">
        <color auto="1"/>
      </right>
      <top/>
      <bottom style="thin">
        <color indexed="64"/>
      </bottom>
      <diagonal/>
    </border>
    <border>
      <left/>
      <right style="thin">
        <color auto="1"/>
      </right>
      <top/>
      <bottom style="thin">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right/>
      <top style="thin">
        <color auto="1"/>
      </top>
      <bottom style="thin">
        <color auto="1"/>
      </bottom>
      <diagonal/>
    </border>
    <border>
      <left/>
      <right style="thin">
        <color indexed="64"/>
      </right>
      <top/>
      <bottom/>
      <diagonal/>
    </border>
    <border>
      <left/>
      <right style="thin">
        <color indexed="64"/>
      </right>
      <top style="thin">
        <color indexed="64"/>
      </top>
      <bottom style="thin">
        <color indexed="64"/>
      </bottom>
      <diagonal/>
    </border>
    <border>
      <left/>
      <right/>
      <top/>
      <bottom style="double">
        <color indexed="64"/>
      </bottom>
      <diagonal/>
    </border>
    <border>
      <left/>
      <right style="thin">
        <color auto="1"/>
      </right>
      <top/>
      <bottom style="double">
        <color indexed="64"/>
      </bottom>
      <diagonal/>
    </border>
    <border>
      <left/>
      <right style="thin">
        <color auto="1"/>
      </right>
      <top style="double">
        <color indexed="64"/>
      </top>
      <bottom style="thin">
        <color indexed="64"/>
      </bottom>
      <diagonal/>
    </border>
    <border>
      <left/>
      <right/>
      <top style="double">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s>
  <cellStyleXfs count="3">
    <xf numFmtId="0" fontId="0" fillId="0" borderId="0"/>
    <xf numFmtId="0" fontId="7" fillId="2" borderId="15" applyNumberFormat="0" applyAlignment="0" applyProtection="0"/>
    <xf numFmtId="9" fontId="10" fillId="0" borderId="0" applyFont="0" applyFill="0" applyBorder="0" applyAlignment="0" applyProtection="0"/>
  </cellStyleXfs>
  <cellXfs count="111">
    <xf numFmtId="0" fontId="0" fillId="0" borderId="0" xfId="0"/>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5" xfId="0" applyFont="1" applyBorder="1"/>
    <xf numFmtId="0" fontId="1" fillId="0" borderId="6" xfId="0" applyFont="1" applyBorder="1"/>
    <xf numFmtId="9" fontId="1" fillId="0" borderId="7" xfId="0" applyNumberFormat="1" applyFont="1" applyBorder="1"/>
    <xf numFmtId="0" fontId="1" fillId="0" borderId="7" xfId="0" applyFont="1" applyBorder="1"/>
    <xf numFmtId="0" fontId="1" fillId="0" borderId="8" xfId="0" applyFont="1" applyBorder="1"/>
    <xf numFmtId="0" fontId="2" fillId="0" borderId="0" xfId="0" applyFont="1"/>
    <xf numFmtId="0" fontId="2" fillId="0" borderId="0" xfId="0" applyFont="1" applyAlignment="1">
      <alignment horizontal="right"/>
    </xf>
    <xf numFmtId="0" fontId="2" fillId="0" borderId="9" xfId="0" applyFont="1" applyBorder="1"/>
    <xf numFmtId="0" fontId="2" fillId="0" borderId="4" xfId="0" applyFont="1" applyBorder="1"/>
    <xf numFmtId="2" fontId="1" fillId="0" borderId="0" xfId="0" applyNumberFormat="1" applyFont="1"/>
    <xf numFmtId="2" fontId="0" fillId="0" borderId="0" xfId="0" applyNumberFormat="1"/>
    <xf numFmtId="2" fontId="1" fillId="0" borderId="1" xfId="0" applyNumberFormat="1" applyFont="1" applyBorder="1"/>
    <xf numFmtId="2" fontId="1" fillId="0" borderId="2" xfId="0" applyNumberFormat="1" applyFont="1" applyBorder="1"/>
    <xf numFmtId="1" fontId="0" fillId="0" borderId="0" xfId="0" applyNumberFormat="1"/>
    <xf numFmtId="1" fontId="1" fillId="0" borderId="0" xfId="0" applyNumberFormat="1" applyFont="1" applyAlignment="1">
      <alignment horizontal="center"/>
    </xf>
    <xf numFmtId="2" fontId="1" fillId="0" borderId="0" xfId="0" applyNumberFormat="1" applyFont="1" applyAlignment="1">
      <alignment horizontal="center"/>
    </xf>
    <xf numFmtId="1" fontId="0" fillId="0" borderId="0" xfId="0" applyNumberFormat="1" applyAlignment="1">
      <alignment horizontal="center"/>
    </xf>
    <xf numFmtId="1" fontId="1" fillId="0" borderId="9" xfId="0" applyNumberFormat="1" applyFont="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1" fontId="1" fillId="0" borderId="3" xfId="0" applyNumberFormat="1" applyFont="1" applyBorder="1"/>
    <xf numFmtId="1" fontId="1" fillId="0" borderId="5" xfId="0" applyNumberFormat="1" applyFont="1" applyBorder="1"/>
    <xf numFmtId="1" fontId="0" fillId="0" borderId="10" xfId="0" applyNumberFormat="1" applyBorder="1" applyAlignment="1">
      <alignment horizontal="center" vertical="center"/>
    </xf>
    <xf numFmtId="0" fontId="0" fillId="0" borderId="9" xfId="0" applyBorder="1" applyAlignment="1">
      <alignment horizontal="center" vertical="center"/>
    </xf>
    <xf numFmtId="0" fontId="3" fillId="0" borderId="0" xfId="0" applyFont="1"/>
    <xf numFmtId="0" fontId="1" fillId="0" borderId="9" xfId="0" applyFont="1" applyBorder="1"/>
    <xf numFmtId="1" fontId="1" fillId="0" borderId="6" xfId="0" applyNumberFormat="1" applyFont="1" applyBorder="1"/>
    <xf numFmtId="0" fontId="1" fillId="0" borderId="16" xfId="0" applyFont="1" applyBorder="1"/>
    <xf numFmtId="0" fontId="8" fillId="0" borderId="18" xfId="0" applyFont="1" applyBorder="1"/>
    <xf numFmtId="0" fontId="8" fillId="0" borderId="20" xfId="0" applyFont="1" applyBorder="1"/>
    <xf numFmtId="0" fontId="8" fillId="0" borderId="19" xfId="0" applyFont="1" applyBorder="1"/>
    <xf numFmtId="0" fontId="8" fillId="3" borderId="21" xfId="0" applyFont="1" applyFill="1" applyBorder="1"/>
    <xf numFmtId="0" fontId="1" fillId="3" borderId="22" xfId="0" applyFont="1" applyFill="1" applyBorder="1"/>
    <xf numFmtId="0" fontId="8" fillId="3" borderId="18" xfId="0" applyFont="1" applyFill="1" applyBorder="1"/>
    <xf numFmtId="0" fontId="1" fillId="3" borderId="16" xfId="0" applyFont="1" applyFill="1" applyBorder="1"/>
    <xf numFmtId="1" fontId="0" fillId="4" borderId="10" xfId="0" applyNumberFormat="1" applyFill="1" applyBorder="1" applyAlignment="1">
      <alignment horizontal="center" vertical="center"/>
    </xf>
    <xf numFmtId="0" fontId="7" fillId="2" borderId="15" xfId="1"/>
    <xf numFmtId="0" fontId="3" fillId="0" borderId="0" xfId="0" applyFont="1" applyAlignment="1">
      <alignment horizontal="left" vertical="center"/>
    </xf>
    <xf numFmtId="0" fontId="8" fillId="3" borderId="16" xfId="0" applyFont="1" applyFill="1" applyBorder="1"/>
    <xf numFmtId="0" fontId="1" fillId="0" borderId="14" xfId="0" applyFont="1" applyBorder="1"/>
    <xf numFmtId="0" fontId="0" fillId="0" borderId="9" xfId="0" applyBorder="1"/>
    <xf numFmtId="0" fontId="0" fillId="0" borderId="17" xfId="0" applyBorder="1"/>
    <xf numFmtId="0" fontId="1" fillId="5" borderId="14" xfId="0" applyFont="1" applyFill="1" applyBorder="1"/>
    <xf numFmtId="0" fontId="1" fillId="5" borderId="9" xfId="0" applyFont="1" applyFill="1" applyBorder="1"/>
    <xf numFmtId="0" fontId="1" fillId="5" borderId="17" xfId="0" applyFont="1" applyFill="1" applyBorder="1"/>
    <xf numFmtId="0" fontId="0" fillId="5" borderId="9" xfId="0" applyFill="1" applyBorder="1"/>
    <xf numFmtId="0" fontId="0" fillId="5" borderId="17" xfId="0" applyFill="1" applyBorder="1"/>
    <xf numFmtId="10" fontId="0" fillId="0" borderId="0" xfId="2" applyNumberFormat="1" applyFont="1"/>
    <xf numFmtId="0" fontId="0" fillId="0" borderId="10" xfId="0" applyBorder="1" applyAlignment="1">
      <alignment horizontal="center" vertical="center"/>
    </xf>
    <xf numFmtId="0" fontId="9" fillId="0" borderId="9" xfId="0" applyFont="1" applyBorder="1" applyAlignment="1">
      <alignment vertical="center"/>
    </xf>
    <xf numFmtId="1" fontId="0" fillId="7" borderId="10" xfId="0" applyNumberFormat="1" applyFill="1" applyBorder="1" applyAlignment="1">
      <alignment horizontal="center" vertical="center"/>
    </xf>
    <xf numFmtId="0" fontId="9" fillId="0" borderId="9" xfId="0" applyFont="1" applyBorder="1" applyAlignment="1">
      <alignment horizontal="center" vertical="center"/>
    </xf>
    <xf numFmtId="0" fontId="9" fillId="0" borderId="9" xfId="0" applyFont="1" applyBorder="1" applyAlignment="1">
      <alignment horizontal="center" vertical="center"/>
    </xf>
    <xf numFmtId="0" fontId="6" fillId="0" borderId="19" xfId="0" applyFont="1" applyBorder="1" applyAlignment="1">
      <alignment horizontal="center"/>
    </xf>
    <xf numFmtId="0" fontId="8" fillId="0" borderId="16" xfId="0" applyFont="1" applyBorder="1" applyAlignment="1">
      <alignment horizontal="center"/>
    </xf>
    <xf numFmtId="0" fontId="3" fillId="0" borderId="19" xfId="0" applyFont="1" applyBorder="1" applyAlignment="1">
      <alignment horizontal="center"/>
    </xf>
    <xf numFmtId="1" fontId="0" fillId="0" borderId="0" xfId="0" applyNumberFormat="1" applyAlignment="1">
      <alignment horizontal="center" vertical="center"/>
    </xf>
    <xf numFmtId="0" fontId="3" fillId="0" borderId="0" xfId="0" applyFont="1" applyAlignment="1">
      <alignment horizontal="center" vertical="center" wrapText="1"/>
    </xf>
    <xf numFmtId="1" fontId="0" fillId="11" borderId="10" xfId="0" applyNumberFormat="1" applyFill="1" applyBorder="1" applyAlignment="1">
      <alignment horizontal="center" vertical="center"/>
    </xf>
    <xf numFmtId="1" fontId="0" fillId="3" borderId="10" xfId="0" applyNumberFormat="1" applyFill="1" applyBorder="1" applyAlignment="1">
      <alignment horizontal="center" vertical="center"/>
    </xf>
    <xf numFmtId="0" fontId="6" fillId="9" borderId="12" xfId="0" applyFont="1" applyFill="1" applyBorder="1" applyAlignment="1">
      <alignment horizontal="center" vertical="center" wrapText="1"/>
    </xf>
    <xf numFmtId="1" fontId="1" fillId="0" borderId="10" xfId="0" applyNumberFormat="1" applyFont="1" applyBorder="1" applyAlignment="1">
      <alignment horizontal="center" vertical="center"/>
    </xf>
    <xf numFmtId="1" fontId="0" fillId="0" borderId="10" xfId="0" applyNumberFormat="1" applyBorder="1" applyAlignment="1">
      <alignment horizontal="center" vertical="center" wrapText="1"/>
    </xf>
    <xf numFmtId="1" fontId="1" fillId="10" borderId="10" xfId="0" applyNumberFormat="1" applyFont="1" applyFill="1" applyBorder="1" applyAlignment="1">
      <alignment horizontal="center" vertical="center"/>
    </xf>
    <xf numFmtId="1" fontId="0" fillId="8" borderId="10" xfId="0" applyNumberFormat="1" applyFill="1" applyBorder="1" applyAlignment="1">
      <alignment horizontal="center" vertical="center"/>
    </xf>
    <xf numFmtId="1" fontId="0" fillId="6" borderId="10" xfId="0" applyNumberFormat="1" applyFill="1" applyBorder="1" applyAlignment="1">
      <alignment horizontal="center" vertical="center"/>
    </xf>
    <xf numFmtId="1" fontId="0" fillId="9" borderId="10" xfId="0" applyNumberFormat="1" applyFill="1" applyBorder="1" applyAlignment="1">
      <alignment horizontal="center" vertical="center"/>
    </xf>
    <xf numFmtId="1" fontId="0" fillId="5" borderId="10" xfId="0" applyNumberFormat="1" applyFill="1" applyBorder="1" applyAlignment="1">
      <alignment horizontal="center" vertical="center"/>
    </xf>
    <xf numFmtId="1" fontId="0" fillId="12" borderId="10" xfId="0" applyNumberFormat="1" applyFill="1" applyBorder="1" applyAlignment="1">
      <alignment horizontal="center" vertical="center"/>
    </xf>
    <xf numFmtId="1" fontId="0" fillId="13" borderId="10" xfId="0" applyNumberFormat="1" applyFill="1" applyBorder="1" applyAlignment="1">
      <alignment horizontal="center" vertical="center"/>
    </xf>
    <xf numFmtId="0" fontId="8" fillId="10" borderId="23" xfId="0" applyFont="1" applyFill="1" applyBorder="1" applyAlignment="1">
      <alignment horizontal="center" vertical="center" wrapText="1"/>
    </xf>
    <xf numFmtId="0" fontId="6" fillId="11" borderId="23" xfId="0" applyFont="1" applyFill="1" applyBorder="1" applyAlignment="1">
      <alignment horizontal="center" vertical="center" wrapText="1"/>
    </xf>
    <xf numFmtId="0" fontId="6" fillId="4" borderId="23" xfId="0" applyFont="1" applyFill="1" applyBorder="1" applyAlignment="1">
      <alignment horizontal="center" vertical="center" wrapText="1"/>
    </xf>
    <xf numFmtId="0" fontId="6" fillId="7" borderId="23" xfId="0" applyFont="1" applyFill="1" applyBorder="1" applyAlignment="1">
      <alignment horizontal="center" vertical="center" wrapText="1"/>
    </xf>
    <xf numFmtId="0" fontId="6" fillId="8" borderId="23"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5" borderId="23" xfId="0" applyFont="1" applyFill="1" applyBorder="1" applyAlignment="1">
      <alignment horizontal="center" vertical="center" wrapText="1"/>
    </xf>
    <xf numFmtId="0" fontId="6" fillId="12" borderId="23" xfId="0" applyFont="1" applyFill="1" applyBorder="1" applyAlignment="1">
      <alignment horizontal="center" vertical="center" wrapText="1"/>
    </xf>
    <xf numFmtId="0" fontId="6" fillId="13" borderId="23" xfId="0" applyFont="1" applyFill="1" applyBorder="1" applyAlignment="1">
      <alignment horizontal="center" vertical="center" wrapText="1"/>
    </xf>
    <xf numFmtId="0" fontId="6" fillId="3" borderId="23" xfId="0" applyFont="1" applyFill="1" applyBorder="1" applyAlignment="1">
      <alignment horizontal="center" vertical="center" wrapText="1"/>
    </xf>
    <xf numFmtId="1" fontId="1" fillId="0" borderId="10" xfId="0" applyNumberFormat="1" applyFont="1" applyBorder="1" applyAlignment="1">
      <alignment horizontal="center"/>
    </xf>
    <xf numFmtId="1" fontId="1" fillId="10" borderId="10" xfId="0" applyNumberFormat="1" applyFont="1" applyFill="1" applyBorder="1" applyAlignment="1">
      <alignment horizontal="center"/>
    </xf>
    <xf numFmtId="1" fontId="0" fillId="0" borderId="10" xfId="0" applyNumberFormat="1" applyBorder="1" applyAlignment="1">
      <alignment horizontal="center"/>
    </xf>
    <xf numFmtId="1" fontId="1" fillId="0" borderId="12" xfId="0" applyNumberFormat="1" applyFont="1" applyBorder="1" applyAlignment="1">
      <alignment horizontal="center"/>
    </xf>
    <xf numFmtId="1" fontId="1" fillId="0" borderId="12" xfId="0" applyNumberFormat="1" applyFont="1" applyBorder="1" applyAlignment="1">
      <alignment horizontal="center" vertical="center"/>
    </xf>
    <xf numFmtId="1" fontId="0" fillId="0" borderId="12" xfId="0" applyNumberFormat="1" applyBorder="1" applyAlignment="1">
      <alignment horizontal="center" vertical="center"/>
    </xf>
    <xf numFmtId="0" fontId="0" fillId="0" borderId="12" xfId="0" applyBorder="1" applyAlignment="1">
      <alignment horizontal="center" vertical="center"/>
    </xf>
    <xf numFmtId="0" fontId="6" fillId="14" borderId="25" xfId="0" applyFont="1" applyFill="1" applyBorder="1" applyAlignment="1">
      <alignment horizontal="center" vertical="center"/>
    </xf>
    <xf numFmtId="0" fontId="6" fillId="14" borderId="26" xfId="0" applyFont="1" applyFill="1" applyBorder="1" applyAlignment="1">
      <alignment horizontal="center" vertical="center"/>
    </xf>
    <xf numFmtId="0" fontId="0" fillId="14" borderId="14" xfId="0" applyFill="1" applyBorder="1"/>
    <xf numFmtId="0" fontId="0" fillId="14" borderId="17" xfId="0" applyFill="1" applyBorder="1"/>
    <xf numFmtId="0" fontId="3" fillId="14" borderId="14" xfId="0" applyFont="1" applyFill="1" applyBorder="1"/>
    <xf numFmtId="0" fontId="0" fillId="14" borderId="11" xfId="0" applyFill="1" applyBorder="1" applyAlignment="1">
      <alignment horizontal="center" vertical="center"/>
    </xf>
    <xf numFmtId="10" fontId="0" fillId="14" borderId="13" xfId="2" applyNumberFormat="1" applyFont="1" applyFill="1" applyBorder="1"/>
    <xf numFmtId="0" fontId="7" fillId="8" borderId="27" xfId="1" applyFill="1" applyBorder="1"/>
    <xf numFmtId="0" fontId="11" fillId="0" borderId="24" xfId="0" applyFont="1" applyBorder="1" applyAlignment="1">
      <alignment horizontal="center"/>
    </xf>
    <xf numFmtId="0" fontId="11" fillId="0" borderId="18" xfId="0" applyFont="1" applyBorder="1" applyAlignment="1">
      <alignment horizontal="center"/>
    </xf>
    <xf numFmtId="0" fontId="11" fillId="0" borderId="23" xfId="0" applyFont="1" applyBorder="1"/>
    <xf numFmtId="0" fontId="11" fillId="0" borderId="18" xfId="0" applyFont="1" applyBorder="1"/>
    <xf numFmtId="0" fontId="12" fillId="0" borderId="23" xfId="0" applyFont="1" applyBorder="1"/>
    <xf numFmtId="0" fontId="12" fillId="0" borderId="18" xfId="0" applyFont="1" applyBorder="1"/>
    <xf numFmtId="0" fontId="6" fillId="0" borderId="0" xfId="0" applyFont="1" applyAlignment="1">
      <alignment horizontal="center"/>
    </xf>
    <xf numFmtId="0" fontId="8" fillId="0" borderId="0" xfId="0" applyFont="1"/>
    <xf numFmtId="0" fontId="8" fillId="3" borderId="0" xfId="0" applyFont="1" applyFill="1"/>
    <xf numFmtId="0" fontId="2" fillId="3" borderId="0" xfId="0" applyFont="1" applyFill="1"/>
  </cellXfs>
  <cellStyles count="3">
    <cellStyle name="Input" xfId="1" builtinId="20"/>
    <cellStyle name="Normal" xfId="0" builtinId="0"/>
    <cellStyle name="Percent" xfId="2" builtinId="5"/>
  </cellStyles>
  <dxfs count="0"/>
  <tableStyles count="0" defaultTableStyle="TableStyleMedium2" defaultPivotStyle="PivotStyleLight16"/>
  <colors>
    <mruColors>
      <color rgb="FFFAD2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39</xdr:col>
      <xdr:colOff>48571</xdr:colOff>
      <xdr:row>1</xdr:row>
      <xdr:rowOff>73441</xdr:rowOff>
    </xdr:from>
    <xdr:to>
      <xdr:col>40</xdr:col>
      <xdr:colOff>590176</xdr:colOff>
      <xdr:row>3</xdr:row>
      <xdr:rowOff>106571</xdr:rowOff>
    </xdr:to>
    <xdr:sp macro="[1]!GoalSeek" textlink="">
      <xdr:nvSpPr>
        <xdr:cNvPr id="3" name="Rounded Rectangle 1">
          <a:extLst>
            <a:ext uri="{FF2B5EF4-FFF2-40B4-BE49-F238E27FC236}">
              <a16:creationId xmlns:a16="http://schemas.microsoft.com/office/drawing/2014/main" id="{60BFB933-0570-427F-9471-688A22F137BC}"/>
            </a:ext>
          </a:extLst>
        </xdr:cNvPr>
        <xdr:cNvSpPr/>
      </xdr:nvSpPr>
      <xdr:spPr>
        <a:xfrm>
          <a:off x="15400630" y="730853"/>
          <a:ext cx="1154193" cy="3468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SOLVE ROR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N%20Cash%20Flow%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ollah  Floh Sheeh"/>
      <sheetName val="Diagram space"/>
    </sheetNames>
    <definedNames>
      <definedName name="GoalSeek"/>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outlinePr summaryBelow="0" summaryRight="0"/>
  </sheetPr>
  <dimension ref="A1:AA70"/>
  <sheetViews>
    <sheetView zoomScaleNormal="100" workbookViewId="0">
      <selection activeCell="A15" sqref="A15"/>
    </sheetView>
    <sheetView workbookViewId="1">
      <selection activeCell="C24" sqref="C24"/>
    </sheetView>
  </sheetViews>
  <sheetFormatPr defaultColWidth="14.453125" defaultRowHeight="15.75" customHeight="1" x14ac:dyDescent="0.25"/>
  <cols>
    <col min="1" max="1" width="41.36328125" customWidth="1"/>
    <col min="6" max="6" width="11.81640625" customWidth="1"/>
    <col min="7" max="7" width="10.81640625" customWidth="1"/>
    <col min="9" max="9" width="26.81640625" customWidth="1"/>
    <col min="10" max="10" width="9.81640625" customWidth="1"/>
    <col min="26" max="27" width="10.81640625" customWidth="1"/>
  </cols>
  <sheetData>
    <row r="1" spans="1:27" ht="12.5" x14ac:dyDescent="0.25">
      <c r="A1" s="101" t="s">
        <v>84</v>
      </c>
      <c r="B1" s="102"/>
      <c r="G1" s="21"/>
      <c r="H1" s="20"/>
      <c r="R1" s="23"/>
      <c r="S1" s="22"/>
      <c r="T1" s="22"/>
      <c r="U1" s="22"/>
      <c r="V1" s="22"/>
      <c r="W1" s="22"/>
      <c r="X1" s="20"/>
      <c r="Y1" s="22"/>
      <c r="Z1" s="20"/>
      <c r="AA1" s="22"/>
    </row>
    <row r="2" spans="1:27" ht="12.5" x14ac:dyDescent="0.25">
      <c r="A2" s="103" t="s">
        <v>85</v>
      </c>
      <c r="B2" s="104">
        <v>1.02</v>
      </c>
      <c r="G2" s="16"/>
      <c r="H2" s="19"/>
      <c r="R2" s="19"/>
      <c r="S2" s="19"/>
      <c r="T2" s="19"/>
      <c r="U2" s="19"/>
      <c r="V2" s="19"/>
      <c r="W2" s="19"/>
      <c r="X2" s="19"/>
      <c r="Y2" s="19"/>
      <c r="Z2" s="19"/>
    </row>
    <row r="3" spans="1:27" ht="12.5" x14ac:dyDescent="0.25">
      <c r="A3" s="103" t="s">
        <v>86</v>
      </c>
      <c r="B3" s="104">
        <v>1.5</v>
      </c>
    </row>
    <row r="4" spans="1:27" ht="12.5" x14ac:dyDescent="0.25">
      <c r="A4" s="103" t="s">
        <v>87</v>
      </c>
      <c r="B4" s="104">
        <v>0.1</v>
      </c>
    </row>
    <row r="5" spans="1:27" ht="12.5" x14ac:dyDescent="0.25">
      <c r="A5" s="103" t="s">
        <v>96</v>
      </c>
      <c r="B5" s="104">
        <v>0.2</v>
      </c>
    </row>
    <row r="6" spans="1:27" ht="12.5" x14ac:dyDescent="0.25">
      <c r="A6" s="103" t="s">
        <v>97</v>
      </c>
      <c r="B6" s="104">
        <f>0.3</f>
        <v>0.3</v>
      </c>
      <c r="Z6" s="11"/>
      <c r="AA6" s="11"/>
    </row>
    <row r="7" spans="1:27" ht="12.5" x14ac:dyDescent="0.25">
      <c r="A7" s="103" t="s">
        <v>107</v>
      </c>
      <c r="B7" s="104">
        <v>4227</v>
      </c>
      <c r="Z7" s="13"/>
      <c r="AA7" s="11"/>
    </row>
    <row r="8" spans="1:27" ht="12.5" x14ac:dyDescent="0.25">
      <c r="A8" s="103" t="s">
        <v>108</v>
      </c>
      <c r="B8" s="104">
        <v>31</v>
      </c>
      <c r="Z8" s="13"/>
      <c r="AA8" s="13"/>
    </row>
    <row r="9" spans="1:27" ht="12.5" x14ac:dyDescent="0.25">
      <c r="A9" s="105"/>
      <c r="B9" s="106"/>
      <c r="Z9" s="11"/>
      <c r="AA9" s="11"/>
    </row>
    <row r="10" spans="1:27" ht="12.5" x14ac:dyDescent="0.25">
      <c r="A10" s="105"/>
      <c r="B10" s="106"/>
      <c r="Z10" s="11"/>
      <c r="AA10" s="11"/>
    </row>
    <row r="11" spans="1:27" ht="12.5" x14ac:dyDescent="0.25">
      <c r="Z11" s="11"/>
      <c r="AA11" s="11"/>
    </row>
    <row r="12" spans="1:27" ht="12.5" x14ac:dyDescent="0.25">
      <c r="G12" s="11"/>
      <c r="Z12" s="11"/>
      <c r="AA12" s="11"/>
    </row>
    <row r="13" spans="1:27" ht="12.5" x14ac:dyDescent="0.25">
      <c r="G13" s="11"/>
      <c r="Z13" s="11"/>
      <c r="AA13" s="11"/>
    </row>
    <row r="14" spans="1:27" ht="12.5" x14ac:dyDescent="0.25">
      <c r="G14" s="11"/>
      <c r="Z14" s="11"/>
      <c r="AA14" s="11"/>
    </row>
    <row r="15" spans="1:27" ht="12.5" x14ac:dyDescent="0.25">
      <c r="G15" s="11"/>
      <c r="Z15" s="11"/>
      <c r="AA15" s="11"/>
    </row>
    <row r="16" spans="1:27" ht="12.5" x14ac:dyDescent="0.25">
      <c r="G16" s="11"/>
      <c r="Z16" s="11"/>
      <c r="AA16" s="11"/>
    </row>
    <row r="17" spans="7:27" ht="12.5" x14ac:dyDescent="0.25">
      <c r="G17" s="11"/>
      <c r="Z17" s="11"/>
      <c r="AA17" s="11"/>
    </row>
    <row r="18" spans="7:27" ht="12.5" x14ac:dyDescent="0.25">
      <c r="Z18" s="11"/>
      <c r="AA18" s="11"/>
    </row>
    <row r="19" spans="7:27" ht="12.5" x14ac:dyDescent="0.25">
      <c r="Z19" s="11"/>
      <c r="AA19" s="11"/>
    </row>
    <row r="20" spans="7:27" ht="12.5" x14ac:dyDescent="0.25">
      <c r="U20" s="11"/>
      <c r="V20" s="11"/>
      <c r="W20" s="11"/>
      <c r="X20" s="11"/>
      <c r="Y20" s="11"/>
      <c r="Z20" s="11"/>
      <c r="AA20" s="11"/>
    </row>
    <row r="21" spans="7:27" ht="12.5" x14ac:dyDescent="0.25">
      <c r="U21" s="11"/>
      <c r="V21" s="11"/>
      <c r="W21" s="11"/>
      <c r="X21" s="11"/>
      <c r="Y21" s="11"/>
      <c r="Z21" s="11"/>
      <c r="AA21" s="11"/>
    </row>
    <row r="22" spans="7:27" ht="12.5" x14ac:dyDescent="0.25"/>
    <row r="23" spans="7:27" ht="12.5" x14ac:dyDescent="0.25">
      <c r="G23" s="11"/>
    </row>
    <row r="24" spans="7:27" ht="12.5" x14ac:dyDescent="0.25">
      <c r="G24" s="11"/>
    </row>
    <row r="25" spans="7:27" ht="12.5" x14ac:dyDescent="0.25">
      <c r="G25" s="11"/>
    </row>
    <row r="26" spans="7:27" ht="12.5" x14ac:dyDescent="0.25">
      <c r="K26" s="30"/>
    </row>
    <row r="27" spans="7:27" ht="12.5" x14ac:dyDescent="0.25"/>
    <row r="28" spans="7:27" ht="12.5" x14ac:dyDescent="0.25"/>
    <row r="29" spans="7:27" ht="12.5" x14ac:dyDescent="0.25"/>
    <row r="30" spans="7:27" ht="12.5" x14ac:dyDescent="0.25"/>
    <row r="31" spans="7:27" ht="12.5" x14ac:dyDescent="0.25"/>
    <row r="32" spans="7:27" ht="12.5" x14ac:dyDescent="0.25"/>
    <row r="33" spans="7:17" ht="12.5" x14ac:dyDescent="0.25">
      <c r="N33" s="11"/>
      <c r="O33" s="11"/>
      <c r="P33" s="11"/>
      <c r="Q33" s="11"/>
    </row>
    <row r="34" spans="7:17" ht="12.5" x14ac:dyDescent="0.25">
      <c r="N34" s="11"/>
      <c r="O34" s="11"/>
      <c r="P34" s="11"/>
      <c r="Q34" s="11"/>
    </row>
    <row r="35" spans="7:17" ht="12.5" x14ac:dyDescent="0.25"/>
    <row r="36" spans="7:17" ht="12.5" x14ac:dyDescent="0.25"/>
    <row r="37" spans="7:17" ht="12.5" x14ac:dyDescent="0.25"/>
    <row r="38" spans="7:17" ht="12.5" x14ac:dyDescent="0.25"/>
    <row r="39" spans="7:17" ht="12.5" x14ac:dyDescent="0.25"/>
    <row r="40" spans="7:17" ht="12.5" x14ac:dyDescent="0.25"/>
    <row r="41" spans="7:17" ht="12.5" x14ac:dyDescent="0.25"/>
    <row r="42" spans="7:17" ht="12.5" x14ac:dyDescent="0.25"/>
    <row r="43" spans="7:17" ht="12.5" x14ac:dyDescent="0.25"/>
    <row r="44" spans="7:17" ht="12.5" x14ac:dyDescent="0.25"/>
    <row r="45" spans="7:17" ht="12.5" x14ac:dyDescent="0.25">
      <c r="G45" s="11"/>
      <c r="H45" s="11"/>
      <c r="I45" s="11"/>
      <c r="J45" s="11"/>
    </row>
    <row r="46" spans="7:17" ht="12.5" x14ac:dyDescent="0.25"/>
    <row r="47" spans="7:17" ht="12.5" x14ac:dyDescent="0.25"/>
    <row r="48" spans="7:17" ht="12.5" x14ac:dyDescent="0.25"/>
    <row r="49" ht="12.5" x14ac:dyDescent="0.25"/>
    <row r="50" ht="12.5" x14ac:dyDescent="0.25"/>
    <row r="51" ht="12.5" x14ac:dyDescent="0.25"/>
    <row r="52" ht="12.5" x14ac:dyDescent="0.25"/>
    <row r="53" ht="12.5" x14ac:dyDescent="0.25"/>
    <row r="54" ht="12.5" x14ac:dyDescent="0.25"/>
    <row r="55" ht="12.5" x14ac:dyDescent="0.25"/>
    <row r="56" ht="12.5" x14ac:dyDescent="0.25"/>
    <row r="57" ht="12.5" x14ac:dyDescent="0.25"/>
    <row r="58" ht="12.5" x14ac:dyDescent="0.25"/>
    <row r="59" ht="12.5" x14ac:dyDescent="0.25"/>
    <row r="60" ht="12.5" x14ac:dyDescent="0.25"/>
    <row r="61" ht="12.5" x14ac:dyDescent="0.25"/>
    <row r="62" ht="12.5" x14ac:dyDescent="0.25"/>
    <row r="63" ht="12.5" x14ac:dyDescent="0.25"/>
    <row r="64" ht="12.5" x14ac:dyDescent="0.25"/>
    <row r="65" ht="12.5" x14ac:dyDescent="0.25"/>
    <row r="66" ht="12.5" x14ac:dyDescent="0.25"/>
    <row r="67" ht="12.5" x14ac:dyDescent="0.25"/>
    <row r="69" ht="12.5" x14ac:dyDescent="0.25"/>
    <row r="70" ht="12.5" x14ac:dyDescent="0.25"/>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O68"/>
  <sheetViews>
    <sheetView tabSelected="1" topLeftCell="K1" zoomScale="85" zoomScaleNormal="85" workbookViewId="0">
      <selection activeCell="AO14" sqref="AO14"/>
    </sheetView>
    <sheetView workbookViewId="1"/>
  </sheetViews>
  <sheetFormatPr defaultRowHeight="12.5" x14ac:dyDescent="0.25"/>
  <cols>
    <col min="1" max="1" width="18.1796875" customWidth="1"/>
    <col min="2" max="2" width="10.1796875" customWidth="1"/>
    <col min="3" max="3" width="16.90625" customWidth="1"/>
    <col min="4" max="4" width="9.1796875" hidden="1" customWidth="1"/>
    <col min="5" max="5" width="11.81640625" hidden="1" customWidth="1"/>
    <col min="6" max="6" width="13" hidden="1" customWidth="1"/>
    <col min="7" max="7" width="10.90625" hidden="1" customWidth="1"/>
    <col min="8" max="8" width="10.6328125" hidden="1" customWidth="1"/>
    <col min="9" max="9" width="10.81640625" hidden="1" customWidth="1"/>
    <col min="10" max="10" width="19.54296875" customWidth="1"/>
    <col min="11" max="11" width="13.1796875" customWidth="1"/>
    <col min="12" max="12" width="11.81640625" hidden="1" customWidth="1"/>
    <col min="13" max="13" width="9.54296875" hidden="1" customWidth="1"/>
    <col min="14" max="14" width="11.1796875" hidden="1" customWidth="1"/>
    <col min="15" max="15" width="9.1796875" hidden="1" customWidth="1"/>
    <col min="16" max="16" width="12" hidden="1" customWidth="1"/>
    <col min="17" max="17" width="11.54296875" customWidth="1"/>
    <col min="18" max="18" width="9.54296875" bestFit="1" customWidth="1"/>
    <col min="19" max="19" width="9.1796875" hidden="1" customWidth="1"/>
    <col min="20" max="20" width="10.1796875" customWidth="1"/>
    <col min="21" max="21" width="10.1796875" hidden="1" customWidth="1"/>
    <col min="22" max="23" width="10.54296875" customWidth="1"/>
    <col min="24" max="24" width="12.26953125" customWidth="1"/>
    <col min="25" max="25" width="13.81640625" customWidth="1"/>
    <col min="26" max="26" width="13.1796875" hidden="1" customWidth="1"/>
    <col min="27" max="27" width="10.453125" hidden="1" customWidth="1"/>
    <col min="28" max="28" width="10.54296875" customWidth="1"/>
    <col min="29" max="29" width="13.54296875" customWidth="1"/>
    <col min="30" max="30" width="12.81640625" customWidth="1"/>
    <col min="31" max="31" width="14.54296875" hidden="1" customWidth="1"/>
    <col min="32" max="32" width="10.54296875" hidden="1" customWidth="1"/>
    <col min="33" max="33" width="8.7265625" hidden="1" customWidth="1"/>
    <col min="34" max="34" width="13.90625" hidden="1" customWidth="1"/>
    <col min="35" max="35" width="11.54296875" hidden="1" customWidth="1"/>
    <col min="36" max="36" width="8.7265625" hidden="1" customWidth="1"/>
    <col min="41" max="41" width="8.7265625" customWidth="1"/>
  </cols>
  <sheetData>
    <row r="1" spans="1:41" ht="52" x14ac:dyDescent="0.25">
      <c r="A1" s="76" t="s">
        <v>65</v>
      </c>
      <c r="B1" s="76" t="s">
        <v>21</v>
      </c>
      <c r="C1" s="77" t="s">
        <v>99</v>
      </c>
      <c r="D1" s="78" t="s">
        <v>17</v>
      </c>
      <c r="E1" s="78" t="s">
        <v>18</v>
      </c>
      <c r="F1" s="78" t="s">
        <v>19</v>
      </c>
      <c r="G1" s="78" t="s">
        <v>78</v>
      </c>
      <c r="H1" s="78" t="s">
        <v>20</v>
      </c>
      <c r="I1" s="78" t="s">
        <v>22</v>
      </c>
      <c r="J1" s="79" t="s">
        <v>98</v>
      </c>
      <c r="K1" s="80" t="s">
        <v>94</v>
      </c>
      <c r="L1" s="81" t="s">
        <v>71</v>
      </c>
      <c r="M1" s="81" t="s">
        <v>74</v>
      </c>
      <c r="N1" s="81" t="s">
        <v>23</v>
      </c>
      <c r="O1" s="81" t="s">
        <v>72</v>
      </c>
      <c r="P1" s="81" t="s">
        <v>73</v>
      </c>
      <c r="Q1" s="82" t="s">
        <v>24</v>
      </c>
      <c r="R1" s="82" t="s">
        <v>25</v>
      </c>
      <c r="S1" s="81" t="s">
        <v>26</v>
      </c>
      <c r="T1" s="81" t="s">
        <v>75</v>
      </c>
      <c r="U1" s="81" t="s">
        <v>95</v>
      </c>
      <c r="V1" s="81" t="s">
        <v>102</v>
      </c>
      <c r="W1" s="83" t="s">
        <v>93</v>
      </c>
      <c r="X1" s="84" t="s">
        <v>28</v>
      </c>
      <c r="Y1" s="84" t="s">
        <v>89</v>
      </c>
      <c r="Z1" s="85" t="s">
        <v>90</v>
      </c>
      <c r="AA1" s="85" t="s">
        <v>92</v>
      </c>
      <c r="AB1" s="85" t="s">
        <v>101</v>
      </c>
      <c r="AC1" s="25"/>
      <c r="AD1" s="25"/>
      <c r="AE1" s="66" t="s">
        <v>69</v>
      </c>
      <c r="AF1" s="66" t="s">
        <v>68</v>
      </c>
      <c r="AG1" s="66" t="s">
        <v>67</v>
      </c>
      <c r="AH1" s="66" t="s">
        <v>70</v>
      </c>
      <c r="AI1" s="66" t="s">
        <v>88</v>
      </c>
      <c r="AJ1" s="63" t="s">
        <v>100</v>
      </c>
      <c r="AK1" s="85" t="s">
        <v>103</v>
      </c>
      <c r="AL1" s="85" t="s">
        <v>104</v>
      </c>
      <c r="AN1" s="93" t="s">
        <v>105</v>
      </c>
      <c r="AO1" s="94"/>
    </row>
    <row r="2" spans="1:41" x14ac:dyDescent="0.25">
      <c r="A2" s="86">
        <v>0</v>
      </c>
      <c r="B2" s="67">
        <v>0</v>
      </c>
      <c r="C2" s="28"/>
      <c r="D2" s="28"/>
      <c r="E2" s="28"/>
      <c r="F2" s="28"/>
      <c r="G2" s="28"/>
      <c r="H2" s="28"/>
      <c r="I2" s="28"/>
      <c r="J2" s="28"/>
      <c r="K2" s="28">
        <f>'Extra Calcs'!N3+'Extra Calcs'!N4+'Extra Calcs'!N5*2+'Extra Calcs'!N6+'Extra Calcs'!N7+'Extra Calcs'!N8</f>
        <v>-217107.94</v>
      </c>
      <c r="L2" s="28"/>
      <c r="M2" s="28"/>
      <c r="N2" s="28"/>
      <c r="O2" s="28">
        <f>-('Extra Calcs'!N3+'Extra Calcs'!N6)</f>
        <v>153000</v>
      </c>
      <c r="P2" s="28">
        <f>-'Extra Calcs'!N5*2</f>
        <v>18507.939999999999</v>
      </c>
      <c r="Q2" s="28"/>
      <c r="R2" s="28"/>
      <c r="S2" s="28">
        <f>SUM(M2:N2)</f>
        <v>0</v>
      </c>
      <c r="T2" s="28"/>
      <c r="U2" s="28"/>
      <c r="V2" s="28"/>
      <c r="W2" s="54"/>
      <c r="X2" s="28">
        <f>K2-V2</f>
        <v>-217107.94</v>
      </c>
      <c r="Y2" s="28"/>
      <c r="Z2" s="28">
        <v>50000</v>
      </c>
      <c r="AA2" s="28">
        <f>AK2*(1+$AE$29)^-C2</f>
        <v>-67107.94</v>
      </c>
      <c r="AB2" s="28">
        <f>X2-AI2+S2-Y2+L2-Z2+AG2</f>
        <v>-67107.94</v>
      </c>
      <c r="AC2" s="24"/>
      <c r="AD2" s="24"/>
      <c r="AE2" s="68"/>
      <c r="AF2" s="68"/>
      <c r="AG2" s="68">
        <v>200000</v>
      </c>
      <c r="AH2" s="68"/>
      <c r="AI2" s="68"/>
      <c r="AJ2" s="62">
        <f>AA2+Q2+R2</f>
        <v>-67107.94</v>
      </c>
      <c r="AK2" s="28">
        <f>AB2*(1+$AO$5)^-B2</f>
        <v>-67107.94</v>
      </c>
      <c r="AL2" s="28">
        <f>AB2*(1+$AO$6)^-B2</f>
        <v>-67107.94</v>
      </c>
      <c r="AN2" s="95"/>
      <c r="AO2" s="96"/>
    </row>
    <row r="3" spans="1:41" x14ac:dyDescent="0.25">
      <c r="A3" s="87">
        <f>_numsubs</f>
        <v>4227</v>
      </c>
      <c r="B3" s="69">
        <v>1</v>
      </c>
      <c r="C3" s="64">
        <f>A3*_salePrice*12</f>
        <v>1572444</v>
      </c>
      <c r="D3" s="41">
        <f>-A3*'Extra Calcs'!$L$12*12</f>
        <v>-1014480</v>
      </c>
      <c r="E3" s="41">
        <f>-A3*'Extra Calcs'!$L$14*12</f>
        <v>-77607.72</v>
      </c>
      <c r="F3" s="41">
        <f>-'Extra Calcs'!$L$15*12*2</f>
        <v>-5086</v>
      </c>
      <c r="G3" s="41">
        <f>-A3*'Extra Calcs'!$L$16*_LTD*12+'Extra Calcs'!$N$19</f>
        <v>-103911.80000000002</v>
      </c>
      <c r="H3" s="41">
        <v>-2000</v>
      </c>
      <c r="I3" s="41">
        <f>-6460*12</f>
        <v>-77520</v>
      </c>
      <c r="J3" s="56">
        <f>SUM(D3:I3)</f>
        <v>-1280605.52</v>
      </c>
      <c r="K3" s="70">
        <f>SUM(J3,C3)+L3+M3+N3</f>
        <v>291838.48</v>
      </c>
      <c r="L3" s="71"/>
      <c r="M3" s="71"/>
      <c r="N3" s="71"/>
      <c r="O3" s="71">
        <f>O2-Q3</f>
        <v>130050</v>
      </c>
      <c r="P3" s="71">
        <f>P2-R3</f>
        <v>16657.146000000001</v>
      </c>
      <c r="Q3" s="73">
        <f>O2*0.15</f>
        <v>22950</v>
      </c>
      <c r="R3" s="73">
        <f>P2*0.1</f>
        <v>1850.7939999999999</v>
      </c>
      <c r="S3" s="71">
        <f>SUM(M3:N3)</f>
        <v>0</v>
      </c>
      <c r="T3" s="71">
        <f>K3-AE3-Q3-R3</f>
        <v>248716.48449769226</v>
      </c>
      <c r="U3" s="71"/>
      <c r="V3" s="71">
        <f t="shared" ref="V3:V22" si="0">T3*0.12</f>
        <v>29845.978139723069</v>
      </c>
      <c r="W3" s="74">
        <f>T3-V3</f>
        <v>218870.50635796919</v>
      </c>
      <c r="X3" s="75">
        <f>K3-V3</f>
        <v>261992.50186027691</v>
      </c>
      <c r="Y3" s="75">
        <f>3*A3*12</f>
        <v>152172</v>
      </c>
      <c r="Z3" s="65"/>
      <c r="AA3" s="65">
        <f>W3-Y3</f>
        <v>66698.506357969192</v>
      </c>
      <c r="AB3" s="65">
        <f>X3-AI3-Y3-Z3</f>
        <v>58963.887302835647</v>
      </c>
      <c r="AC3" s="24"/>
      <c r="AD3" s="24"/>
      <c r="AE3" s="72">
        <v>18321.2015023077</v>
      </c>
      <c r="AF3" s="72">
        <v>-32535.4130551335</v>
      </c>
      <c r="AG3" s="72">
        <v>167464.58694486646</v>
      </c>
      <c r="AH3" s="72"/>
      <c r="AI3" s="72">
        <v>50856.614557441251</v>
      </c>
      <c r="AJ3" s="62">
        <f>AA3+Q3+AF3+R3</f>
        <v>58963.887302835697</v>
      </c>
      <c r="AK3" s="28">
        <f>AB3*(1+$AO$5)^-B3</f>
        <v>53603.533911668768</v>
      </c>
      <c r="AL3" s="28">
        <f>AB3*(1+$AO$6)^-B3</f>
        <v>29817.965020638057</v>
      </c>
      <c r="AN3" s="95"/>
      <c r="AO3" s="96"/>
    </row>
    <row r="4" spans="1:41" x14ac:dyDescent="0.25">
      <c r="A4" s="88">
        <f>A3*_rate_of_growt</f>
        <v>4311.54</v>
      </c>
      <c r="B4" s="67">
        <v>2</v>
      </c>
      <c r="C4" s="28">
        <f>A4*_salePrice*12</f>
        <v>1603892.88</v>
      </c>
      <c r="D4" s="28">
        <f>-A4*'Extra Calcs'!$L$12*12</f>
        <v>-1034769.6000000001</v>
      </c>
      <c r="E4" s="28">
        <f>-A4*'Extra Calcs'!$L$14*12</f>
        <v>-79159.874400000001</v>
      </c>
      <c r="F4" s="28">
        <f>-'Extra Calcs'!$L$15*12</f>
        <v>-2543</v>
      </c>
      <c r="G4" s="28">
        <f>-A4*'Extra Calcs'!$L$16*_LTD*12+'Extra Calcs'!$N$19</f>
        <v>-105890.03600000001</v>
      </c>
      <c r="H4" s="28">
        <v>-2000</v>
      </c>
      <c r="I4" s="28">
        <f t="shared" ref="I4:I14" si="1">-6460*12</f>
        <v>-77520</v>
      </c>
      <c r="J4" s="28">
        <f t="shared" ref="J4:J7" si="2">SUM(D4:I4)</f>
        <v>-1301882.5104000003</v>
      </c>
      <c r="K4" s="28">
        <f t="shared" ref="K4:K21" si="3">SUM(J4,C4)+L4+M4+N4</f>
        <v>302010.36959999963</v>
      </c>
      <c r="L4" s="28"/>
      <c r="M4" s="28"/>
      <c r="N4" s="28"/>
      <c r="O4" s="28">
        <f>O3-Q4</f>
        <v>91035</v>
      </c>
      <c r="P4" s="28">
        <f>P3-R4</f>
        <v>13325.7168</v>
      </c>
      <c r="Q4" s="28">
        <f>O3*0.3</f>
        <v>39015</v>
      </c>
      <c r="R4" s="28">
        <f>P3*0.2</f>
        <v>3331.4292000000005</v>
      </c>
      <c r="S4" s="28">
        <f>SUM(M4:N4)</f>
        <v>0</v>
      </c>
      <c r="T4" s="28">
        <f>K4-AE4-Q4-R4</f>
        <v>244708.47128270578</v>
      </c>
      <c r="U4" s="28"/>
      <c r="V4" s="28">
        <f t="shared" si="0"/>
        <v>29365.016553924692</v>
      </c>
      <c r="W4" s="54">
        <f>T4-V4</f>
        <v>215343.4547287811</v>
      </c>
      <c r="X4" s="28">
        <f>K4-V4</f>
        <v>272645.35304607492</v>
      </c>
      <c r="Y4" s="28">
        <f>3*A4*12</f>
        <v>155215.44</v>
      </c>
      <c r="Z4" s="28"/>
      <c r="AA4" s="28">
        <f>W4-Y4</f>
        <v>60128.014728781098</v>
      </c>
      <c r="AB4" s="28">
        <f>X4-AI4-Y4-Z4</f>
        <v>66573.298488633678</v>
      </c>
      <c r="AC4" s="24"/>
      <c r="AD4" s="24"/>
      <c r="AE4" s="28">
        <v>14955.469117293847</v>
      </c>
      <c r="AF4" s="28">
        <v>-35901.145440147397</v>
      </c>
      <c r="AG4" s="28">
        <v>131563.44150471906</v>
      </c>
      <c r="AH4" s="28"/>
      <c r="AI4" s="28">
        <v>50856.614557441244</v>
      </c>
      <c r="AJ4" s="62">
        <f>AA4+Q4+AF4+R4</f>
        <v>66573.298488633707</v>
      </c>
      <c r="AK4" s="28">
        <f>AB4*(1+$AO$5)^-B4</f>
        <v>55019.254949284026</v>
      </c>
      <c r="AL4" s="28">
        <f>AB4*(1+$AO$6)^-B4</f>
        <v>17024.87227133958</v>
      </c>
      <c r="AN4" s="95"/>
      <c r="AO4" s="96"/>
    </row>
    <row r="5" spans="1:41" x14ac:dyDescent="0.25">
      <c r="A5" s="87">
        <f t="shared" ref="A5:A22" si="4">A4*1.02</f>
        <v>4397.7708000000002</v>
      </c>
      <c r="B5" s="69">
        <v>3</v>
      </c>
      <c r="C5" s="64">
        <f>A5*_salePrice*12</f>
        <v>1635970.7376000001</v>
      </c>
      <c r="D5" s="41">
        <f>-A5*'Extra Calcs'!$L$12*12</f>
        <v>-1055464.9920000001</v>
      </c>
      <c r="E5" s="41">
        <f>-A5*'Extra Calcs'!$L$14*12</f>
        <v>-80743.071888000006</v>
      </c>
      <c r="F5" s="41">
        <f>-'Extra Calcs'!$L$15*12</f>
        <v>-2543</v>
      </c>
      <c r="G5" s="41">
        <f>-A5*'Extra Calcs'!$L$16*_LTD*12+'Extra Calcs'!$N$19</f>
        <v>-107907.83672000001</v>
      </c>
      <c r="H5" s="41">
        <v>-2000</v>
      </c>
      <c r="I5" s="41">
        <f t="shared" si="1"/>
        <v>-77520</v>
      </c>
      <c r="J5" s="56">
        <f t="shared" si="2"/>
        <v>-1326178.9006080001</v>
      </c>
      <c r="K5" s="70">
        <f t="shared" si="3"/>
        <v>309791.836992</v>
      </c>
      <c r="L5" s="71"/>
      <c r="M5" s="71"/>
      <c r="N5" s="71"/>
      <c r="O5" s="71">
        <f>O4-Q5</f>
        <v>63724.5</v>
      </c>
      <c r="P5" s="71">
        <f>P4-R5</f>
        <v>10660.57344</v>
      </c>
      <c r="Q5" s="73">
        <f>O4*0.3</f>
        <v>27310.5</v>
      </c>
      <c r="R5" s="73">
        <f>P4*0.2</f>
        <v>2665.14336</v>
      </c>
      <c r="S5" s="71">
        <f>SUM(M5:N5)</f>
        <v>0</v>
      </c>
      <c r="T5" s="71">
        <f>K5-AE5-Q5-R5</f>
        <v>268574.63611196284</v>
      </c>
      <c r="U5" s="71"/>
      <c r="V5" s="71">
        <f t="shared" si="0"/>
        <v>32228.956333435541</v>
      </c>
      <c r="W5" s="74">
        <f t="shared" ref="W5:W21" si="5">T5-V5</f>
        <v>236345.67977852729</v>
      </c>
      <c r="X5" s="75">
        <f>K5-V5</f>
        <v>277562.88065856445</v>
      </c>
      <c r="Y5" s="75">
        <f>3*A5*12</f>
        <v>158319.7488</v>
      </c>
      <c r="Z5" s="65"/>
      <c r="AA5" s="65">
        <f>W5-Y5</f>
        <v>78025.930978527293</v>
      </c>
      <c r="AB5" s="65">
        <f>X5-AI5-Y5-Z5</f>
        <v>68386.517301123211</v>
      </c>
      <c r="AC5" s="24"/>
      <c r="AD5" s="24"/>
      <c r="AE5" s="72">
        <v>11241.55752003716</v>
      </c>
      <c r="AF5" s="72">
        <v>-39615.057037404098</v>
      </c>
      <c r="AG5" s="72">
        <v>91948.384467314972</v>
      </c>
      <c r="AH5" s="72"/>
      <c r="AI5" s="72">
        <v>50856.614557441244</v>
      </c>
      <c r="AJ5" s="62">
        <f>AA5+Q5+AF5+R5</f>
        <v>68386.517301123196</v>
      </c>
      <c r="AK5" s="28">
        <f>AB5*(1+$AO$5)^-B5</f>
        <v>51379.802630445673</v>
      </c>
      <c r="AL5" s="28">
        <f>AB5*(1+$AO$6)^-B5</f>
        <v>8843.9477388903942</v>
      </c>
      <c r="AN5" s="97" t="s">
        <v>76</v>
      </c>
      <c r="AO5" s="96">
        <f>'Initial Variables'!B4</f>
        <v>0.1</v>
      </c>
    </row>
    <row r="6" spans="1:41" ht="14.5" x14ac:dyDescent="0.35">
      <c r="A6" s="86">
        <f t="shared" si="4"/>
        <v>4485.726216</v>
      </c>
      <c r="B6" s="67">
        <v>4</v>
      </c>
      <c r="C6" s="28">
        <f>A6*_salePrice*12</f>
        <v>1668690.1523519999</v>
      </c>
      <c r="D6" s="28">
        <f>-A6*'Extra Calcs'!$L$12*12</f>
        <v>-1076574.2918400001</v>
      </c>
      <c r="E6" s="28">
        <f>-A6*'Extra Calcs'!$L$14*12</f>
        <v>-82357.933325760008</v>
      </c>
      <c r="F6" s="28">
        <f>-'Extra Calcs'!$L$15*12</f>
        <v>-2543</v>
      </c>
      <c r="G6" s="28">
        <f>-A6*'Extra Calcs'!$L$16*_LTD*12+'Extra Calcs'!$N$19</f>
        <v>-109965.9934544</v>
      </c>
      <c r="H6" s="28">
        <v>-2000</v>
      </c>
      <c r="I6" s="28">
        <f>-6460*12</f>
        <v>-77520</v>
      </c>
      <c r="J6" s="28">
        <f t="shared" si="2"/>
        <v>-1350961.2186201601</v>
      </c>
      <c r="K6" s="28">
        <f t="shared" si="3"/>
        <v>317728.93373183976</v>
      </c>
      <c r="L6" s="28"/>
      <c r="M6" s="28"/>
      <c r="N6" s="28"/>
      <c r="O6" s="28">
        <f>O5-Q6</f>
        <v>44607.15</v>
      </c>
      <c r="P6" s="28">
        <f>P5-R6</f>
        <v>8528.4587520000005</v>
      </c>
      <c r="Q6" s="28">
        <f>O5*0.3</f>
        <v>19117.349999999999</v>
      </c>
      <c r="R6" s="28">
        <f>P5*0.2</f>
        <v>2132.1146880000001</v>
      </c>
      <c r="S6" s="28">
        <f>SUM(M6:N6)</f>
        <v>0</v>
      </c>
      <c r="T6" s="28">
        <f>K6-AE6-Q6-R6</f>
        <v>289336.02087249968</v>
      </c>
      <c r="U6" s="28"/>
      <c r="V6" s="28">
        <f>T6*0.12</f>
        <v>34720.322504699958</v>
      </c>
      <c r="W6" s="54">
        <f t="shared" si="5"/>
        <v>254615.69836779972</v>
      </c>
      <c r="X6" s="28">
        <f>K6-V6</f>
        <v>283008.61122713983</v>
      </c>
      <c r="Y6" s="28">
        <f>3*A6*12</f>
        <v>161486.14377600001</v>
      </c>
      <c r="Z6" s="28"/>
      <c r="AA6" s="28">
        <f>W6-Y6</f>
        <v>93129.554591799708</v>
      </c>
      <c r="AB6" s="28">
        <f>X6-AI6-Y6-Z6</f>
        <v>70665.852893698582</v>
      </c>
      <c r="AC6" s="24"/>
      <c r="AD6" s="24"/>
      <c r="AE6" s="68">
        <v>7143.4481713401246</v>
      </c>
      <c r="AF6" s="68">
        <v>-43713.166386101097</v>
      </c>
      <c r="AG6" s="68">
        <v>48235.218081213854</v>
      </c>
      <c r="AH6" s="68"/>
      <c r="AI6" s="68">
        <v>50856.614557441244</v>
      </c>
      <c r="AJ6" s="62">
        <f>AA6+Q6+AF6+R6</f>
        <v>70665.852893698611</v>
      </c>
      <c r="AK6" s="28">
        <f>AB6*(1+$AO$5)^-B6</f>
        <v>48265.728361244837</v>
      </c>
      <c r="AL6" s="28">
        <f>AB6*(1+$AO$6)^-B6</f>
        <v>4621.4385095836788</v>
      </c>
      <c r="AN6" s="97" t="s">
        <v>77</v>
      </c>
      <c r="AO6" s="100">
        <v>0.97746181746556771</v>
      </c>
    </row>
    <row r="7" spans="1:41" x14ac:dyDescent="0.25">
      <c r="A7" s="87">
        <f t="shared" si="4"/>
        <v>4575.4407403200003</v>
      </c>
      <c r="B7" s="69">
        <v>5</v>
      </c>
      <c r="C7" s="64">
        <f>A7*_salePrice*12</f>
        <v>1702063.9553990401</v>
      </c>
      <c r="D7" s="41">
        <f>-A7*'Extra Calcs'!$L$12*12</f>
        <v>-1098105.7776768003</v>
      </c>
      <c r="E7" s="41">
        <f>-A7*'Extra Calcs'!$L$14*12</f>
        <v>-84005.091992275207</v>
      </c>
      <c r="F7" s="41">
        <f>-'Extra Calcs'!$L$15*12</f>
        <v>-2543</v>
      </c>
      <c r="G7" s="41">
        <f>-A7*'Extra Calcs'!$L$16*_LTD*12+'Extra Calcs'!$N$19</f>
        <v>-112065.31332348799</v>
      </c>
      <c r="H7" s="41">
        <v>-2000</v>
      </c>
      <c r="I7" s="41">
        <f t="shared" si="1"/>
        <v>-77520</v>
      </c>
      <c r="J7" s="56">
        <f t="shared" si="2"/>
        <v>-1376239.1829925636</v>
      </c>
      <c r="K7" s="70">
        <f t="shared" si="3"/>
        <v>325824.77240647655</v>
      </c>
      <c r="L7" s="71"/>
      <c r="M7" s="71"/>
      <c r="N7" s="71"/>
      <c r="O7" s="71">
        <f>O6-Q7</f>
        <v>31225.005000000001</v>
      </c>
      <c r="P7" s="71">
        <f>P6-R7</f>
        <v>6822.7670016000002</v>
      </c>
      <c r="Q7" s="73">
        <f>O6*0.3</f>
        <v>13382.145</v>
      </c>
      <c r="R7" s="73">
        <f>P6*0.2</f>
        <v>1705.6917504000003</v>
      </c>
      <c r="S7" s="71">
        <f>SUM(M7:N7)</f>
        <v>0</v>
      </c>
      <c r="T7" s="71">
        <f>K7-AE7-Q7-R7</f>
        <v>308115.53917985037</v>
      </c>
      <c r="U7" s="71"/>
      <c r="V7" s="71">
        <f t="shared" si="0"/>
        <v>36973.864701582046</v>
      </c>
      <c r="W7" s="74">
        <f t="shared" si="5"/>
        <v>271141.67447826831</v>
      </c>
      <c r="X7" s="75">
        <f>K7-V7</f>
        <v>288850.90770489449</v>
      </c>
      <c r="Y7" s="75">
        <f>3*A7*12</f>
        <v>164715.86665152002</v>
      </c>
      <c r="Z7" s="65"/>
      <c r="AA7" s="65">
        <f>W7-Y7</f>
        <v>106425.80782674829</v>
      </c>
      <c r="AB7" s="65">
        <f>X7-AI7-Y7-Z7</f>
        <v>73278.426495933236</v>
      </c>
      <c r="AC7" s="24"/>
      <c r="AD7" s="24"/>
      <c r="AE7" s="72">
        <v>2621.3964762261453</v>
      </c>
      <c r="AF7" s="72">
        <v>-48235.218081215098</v>
      </c>
      <c r="AG7" s="72">
        <v>-1.2369127944111824E-9</v>
      </c>
      <c r="AH7" s="72"/>
      <c r="AI7" s="72">
        <v>50856.614557441237</v>
      </c>
      <c r="AJ7" s="62">
        <f>AA7+Q7+AF7+R7</f>
        <v>73278.426495933207</v>
      </c>
      <c r="AK7" s="28">
        <f>AB7*(1+$AO$5)^-B7</f>
        <v>45500.137531547902</v>
      </c>
      <c r="AL7" s="28">
        <f>AB7*(1+$AO$6)^-B7</f>
        <v>2423.458586166314</v>
      </c>
      <c r="AN7" s="98"/>
      <c r="AO7" s="99">
        <f>AO6</f>
        <v>0.97746181746556771</v>
      </c>
    </row>
    <row r="8" spans="1:41" x14ac:dyDescent="0.25">
      <c r="A8" s="88">
        <f t="shared" si="4"/>
        <v>4666.9495551263999</v>
      </c>
      <c r="B8" s="67">
        <v>6</v>
      </c>
      <c r="C8" s="28">
        <f>A8*_salePrice*12</f>
        <v>1736105.2345070208</v>
      </c>
      <c r="D8" s="28">
        <f>-A8*'Extra Calcs'!$L$12*12</f>
        <v>-1120067.893230336</v>
      </c>
      <c r="E8" s="28">
        <f>-A8*'Extra Calcs'!$L$14*12</f>
        <v>-85685.193832120713</v>
      </c>
      <c r="F8" s="28">
        <f>-'Extra Calcs'!$L$15*12</f>
        <v>-2543</v>
      </c>
      <c r="G8" s="28">
        <f>-A8*'Extra Calcs'!$L$16*_LTD*12+'Extra Calcs'!$N$19</f>
        <v>-114206.61958995776</v>
      </c>
      <c r="H8" s="28">
        <v>-2000</v>
      </c>
      <c r="I8" s="28">
        <f t="shared" si="1"/>
        <v>-77520</v>
      </c>
      <c r="J8" s="28">
        <f t="shared" ref="J8:J21" si="6">SUM(D8:I8)</f>
        <v>-1402022.7066524145</v>
      </c>
      <c r="K8" s="28">
        <f t="shared" si="3"/>
        <v>334082.52785460628</v>
      </c>
      <c r="L8" s="28"/>
      <c r="M8" s="28"/>
      <c r="N8" s="28"/>
      <c r="O8" s="28">
        <f>O7-Q8</f>
        <v>21857.503499999999</v>
      </c>
      <c r="P8" s="28">
        <f>P7-R8</f>
        <v>5458.2136012800001</v>
      </c>
      <c r="Q8" s="28">
        <f>O7*0.3</f>
        <v>9367.5015000000003</v>
      </c>
      <c r="R8" s="28">
        <f>P7*0.2</f>
        <v>1364.55340032</v>
      </c>
      <c r="S8" s="28">
        <f>SUM(M8:N8)</f>
        <v>0</v>
      </c>
      <c r="T8" s="28">
        <f>K8-AE8-Q8-R8</f>
        <v>323350.47295428626</v>
      </c>
      <c r="U8" s="28"/>
      <c r="V8" s="28">
        <f t="shared" si="0"/>
        <v>38802.056754514349</v>
      </c>
      <c r="W8" s="54">
        <f t="shared" si="5"/>
        <v>284548.41619977192</v>
      </c>
      <c r="X8" s="28">
        <f>K8-V8</f>
        <v>295280.47110009193</v>
      </c>
      <c r="Y8" s="28">
        <f>3*A8*12</f>
        <v>168010.18398455039</v>
      </c>
      <c r="Z8" s="28"/>
      <c r="AA8" s="28">
        <f>W8-Y8</f>
        <v>116538.23221522153</v>
      </c>
      <c r="AB8" s="28">
        <f>X8-AI8-Y8-Z8</f>
        <v>127270.28711554155</v>
      </c>
      <c r="AC8" s="24"/>
      <c r="AD8" s="24"/>
      <c r="AE8" s="28"/>
      <c r="AF8" s="28"/>
      <c r="AG8" s="28"/>
      <c r="AH8" s="28"/>
      <c r="AI8" s="28"/>
      <c r="AJ8" s="62">
        <f>AA8+Q8+AF8+R8</f>
        <v>127270.28711554153</v>
      </c>
      <c r="AK8" s="28">
        <f>AB8*(1+$AO$5)^-B8</f>
        <v>71840.75914718234</v>
      </c>
      <c r="AL8" s="28">
        <f>AB8*(1+$AO$6)^-B8</f>
        <v>2128.5231832335021</v>
      </c>
    </row>
    <row r="9" spans="1:41" x14ac:dyDescent="0.25">
      <c r="A9" s="87">
        <f t="shared" si="4"/>
        <v>4760.2885462289278</v>
      </c>
      <c r="B9" s="69">
        <v>7</v>
      </c>
      <c r="C9" s="64">
        <f>A9*_salePrice*12</f>
        <v>1770827.3391971611</v>
      </c>
      <c r="D9" s="41">
        <f>-A9*'Extra Calcs'!$L$12*12</f>
        <v>-1142469.2510949427</v>
      </c>
      <c r="E9" s="41">
        <f>-A9*'Extra Calcs'!$L$14*12</f>
        <v>-87398.897708763106</v>
      </c>
      <c r="F9" s="41">
        <f>-'Extra Calcs'!$L$15*12</f>
        <v>-2543</v>
      </c>
      <c r="G9" s="41">
        <f>-A9*'Extra Calcs'!$L$16*_LTD*12+'Extra Calcs'!$N$19</f>
        <v>-116390.7519817569</v>
      </c>
      <c r="H9" s="41">
        <v>-2000</v>
      </c>
      <c r="I9" s="41">
        <f t="shared" si="1"/>
        <v>-77520</v>
      </c>
      <c r="J9" s="56">
        <f t="shared" si="6"/>
        <v>-1428321.9007854627</v>
      </c>
      <c r="K9" s="70">
        <f t="shared" si="3"/>
        <v>342505.43841169844</v>
      </c>
      <c r="L9" s="71"/>
      <c r="M9" s="71"/>
      <c r="N9" s="71"/>
      <c r="O9" s="71">
        <f>O8-Q9</f>
        <v>15300.25245</v>
      </c>
      <c r="P9" s="71">
        <f>P8-R9</f>
        <v>4366.5708810240003</v>
      </c>
      <c r="Q9" s="73">
        <f>O8*0.3</f>
        <v>6557.2510499999999</v>
      </c>
      <c r="R9" s="73">
        <f>P8*0.2</f>
        <v>1091.6427202560001</v>
      </c>
      <c r="S9" s="71">
        <f>SUM(M9:N9)</f>
        <v>0</v>
      </c>
      <c r="T9" s="71">
        <f>K9-AE9-Q9-R9</f>
        <v>334856.54464144242</v>
      </c>
      <c r="U9" s="71"/>
      <c r="V9" s="71">
        <f t="shared" si="0"/>
        <v>40182.785356973087</v>
      </c>
      <c r="W9" s="74">
        <f t="shared" si="5"/>
        <v>294673.75928446936</v>
      </c>
      <c r="X9" s="75">
        <f>K9-V9</f>
        <v>302322.65305472538</v>
      </c>
      <c r="Y9" s="75">
        <f>3*A9*12</f>
        <v>171370.38766424143</v>
      </c>
      <c r="Z9" s="65"/>
      <c r="AA9" s="65">
        <f>W9-Y9</f>
        <v>123303.37162022793</v>
      </c>
      <c r="AB9" s="65">
        <f>X9-AI9-Y9-Z9</f>
        <v>130952.26539048395</v>
      </c>
      <c r="AC9" s="24"/>
      <c r="AD9" s="24"/>
      <c r="AE9" s="72"/>
      <c r="AF9" s="72"/>
      <c r="AG9" s="72"/>
      <c r="AH9" s="72"/>
      <c r="AI9" s="72"/>
      <c r="AJ9" s="62">
        <f>AA9+Q9+AF9+R9</f>
        <v>130952.26539048394</v>
      </c>
      <c r="AK9" s="28">
        <f>AB9*(1+$AO$5)^-B9</f>
        <v>67199.218085828819</v>
      </c>
      <c r="AL9" s="28">
        <f>AB9*(1+$AO$6)^-B9</f>
        <v>1107.5319669294354</v>
      </c>
    </row>
    <row r="10" spans="1:41" x14ac:dyDescent="0.25">
      <c r="A10" s="86">
        <f t="shared" si="4"/>
        <v>4855.494317153506</v>
      </c>
      <c r="B10" s="67">
        <v>8</v>
      </c>
      <c r="C10" s="28">
        <f>A10*_salePrice*12</f>
        <v>1806243.8859811043</v>
      </c>
      <c r="D10" s="28">
        <f>-A10*'Extra Calcs'!$L$12*12</f>
        <v>-1165318.6361168413</v>
      </c>
      <c r="E10" s="28">
        <f>-A10*'Extra Calcs'!$L$14*12</f>
        <v>-89146.875662938372</v>
      </c>
      <c r="F10" s="28">
        <f>-'Extra Calcs'!$L$15*12</f>
        <v>-2543</v>
      </c>
      <c r="G10" s="28">
        <f>-A10*'Extra Calcs'!$L$16*_LTD*12+'Extra Calcs'!$N$19</f>
        <v>-118618.56702139205</v>
      </c>
      <c r="H10" s="28">
        <v>-2000</v>
      </c>
      <c r="I10" s="28">
        <f t="shared" si="1"/>
        <v>-77520</v>
      </c>
      <c r="J10" s="28">
        <f t="shared" si="6"/>
        <v>-1455147.0788011719</v>
      </c>
      <c r="K10" s="28">
        <f t="shared" si="3"/>
        <v>351096.80717993248</v>
      </c>
      <c r="L10" s="28"/>
      <c r="M10" s="28"/>
      <c r="N10" s="28"/>
      <c r="O10" s="28">
        <f>O9-Q10</f>
        <v>10710.176715000001</v>
      </c>
      <c r="P10" s="28">
        <f>P9-R10</f>
        <v>3493.2567048192004</v>
      </c>
      <c r="Q10" s="28">
        <f>O9*0.3</f>
        <v>4590.0757349999994</v>
      </c>
      <c r="R10" s="28">
        <f>P9*0.2</f>
        <v>873.31417620480011</v>
      </c>
      <c r="S10" s="28">
        <f>SUM(M10:N10)</f>
        <v>0</v>
      </c>
      <c r="T10" s="28">
        <f>K10-AE10-Q10-R10</f>
        <v>345633.41726872767</v>
      </c>
      <c r="U10" s="28"/>
      <c r="V10" s="28">
        <f t="shared" si="0"/>
        <v>41476.010072247322</v>
      </c>
      <c r="W10" s="54">
        <f t="shared" si="5"/>
        <v>304157.40719648037</v>
      </c>
      <c r="X10" s="28">
        <f>K10-V10</f>
        <v>309620.79710768518</v>
      </c>
      <c r="Y10" s="28">
        <f>3*A10*12</f>
        <v>174797.79541752621</v>
      </c>
      <c r="Z10" s="28"/>
      <c r="AA10" s="28">
        <f>W10-Y10</f>
        <v>129359.61177895416</v>
      </c>
      <c r="AB10" s="28">
        <f>X10-AI10-Y10-Z10</f>
        <v>134823.00169015897</v>
      </c>
      <c r="AC10" s="24"/>
      <c r="AD10" s="24"/>
      <c r="AE10" s="68"/>
      <c r="AF10" s="68"/>
      <c r="AG10" s="68"/>
      <c r="AH10" s="68"/>
      <c r="AI10" s="68"/>
      <c r="AJ10" s="62">
        <f>AA10+Q10+AF10+R10</f>
        <v>134823.00169015894</v>
      </c>
      <c r="AK10" s="28">
        <f>AB10*(1+$AO$5)^-B10</f>
        <v>62895.925310488485</v>
      </c>
      <c r="AL10" s="28">
        <f>AB10*(1+$AO$6)^-B10</f>
        <v>576.63253124737253</v>
      </c>
    </row>
    <row r="11" spans="1:41" x14ac:dyDescent="0.25">
      <c r="A11" s="87">
        <f t="shared" si="4"/>
        <v>4952.6042034965758</v>
      </c>
      <c r="B11" s="69">
        <v>9</v>
      </c>
      <c r="C11" s="64">
        <f>A11*_salePrice*12</f>
        <v>1842368.7637007264</v>
      </c>
      <c r="D11" s="41">
        <f>-A11*'Extra Calcs'!$L$12*12</f>
        <v>-1188625.0088391781</v>
      </c>
      <c r="E11" s="41">
        <f>-A11*'Extra Calcs'!$L$14*12</f>
        <v>-90929.813176197145</v>
      </c>
      <c r="F11" s="41">
        <f>-'Extra Calcs'!$L$15*12</f>
        <v>-2543</v>
      </c>
      <c r="G11" s="41">
        <f>-A11*'Extra Calcs'!$L$16*_LTD*12+'Extra Calcs'!$N$19</f>
        <v>-120890.93836181986</v>
      </c>
      <c r="H11" s="41">
        <v>-2000</v>
      </c>
      <c r="I11" s="41">
        <f t="shared" si="1"/>
        <v>-77520</v>
      </c>
      <c r="J11" s="56">
        <f t="shared" si="6"/>
        <v>-1482508.7603771952</v>
      </c>
      <c r="K11" s="70">
        <f t="shared" si="3"/>
        <v>359860.00332353124</v>
      </c>
      <c r="L11" s="71"/>
      <c r="M11" s="71"/>
      <c r="N11" s="71"/>
      <c r="O11" s="71">
        <f>O10-Q11</f>
        <v>7497.1237005000012</v>
      </c>
      <c r="P11" s="71">
        <f>P10-R11</f>
        <v>2794.6053638553603</v>
      </c>
      <c r="Q11" s="73">
        <f>O10*0.3</f>
        <v>3213.0530145000002</v>
      </c>
      <c r="R11" s="73">
        <f>P10*0.2</f>
        <v>698.65134096384008</v>
      </c>
      <c r="S11" s="71">
        <f>SUM(M11:N11)</f>
        <v>0</v>
      </c>
      <c r="T11" s="71">
        <f>K11-AE11-Q11-R11</f>
        <v>355948.29896806739</v>
      </c>
      <c r="U11" s="71"/>
      <c r="V11" s="71">
        <f t="shared" si="0"/>
        <v>42713.795876168086</v>
      </c>
      <c r="W11" s="74">
        <f>T11-V11</f>
        <v>313234.50309189933</v>
      </c>
      <c r="X11" s="75">
        <f>K11-V11</f>
        <v>317146.20744736318</v>
      </c>
      <c r="Y11" s="75">
        <f>3*A11*12</f>
        <v>178293.75132587674</v>
      </c>
      <c r="Z11" s="65"/>
      <c r="AA11" s="65">
        <f>W11-Y11</f>
        <v>134940.75176602259</v>
      </c>
      <c r="AB11" s="65">
        <f>X11-AI11-Y11-Z11</f>
        <v>138852.45612148644</v>
      </c>
      <c r="AC11" s="24"/>
      <c r="AD11" s="24"/>
      <c r="AE11" s="72"/>
      <c r="AF11" s="72"/>
      <c r="AG11" s="72"/>
      <c r="AH11" s="72"/>
      <c r="AI11" s="72"/>
      <c r="AJ11" s="62">
        <f>AA11+Q11+AF11+R11</f>
        <v>138852.45612148644</v>
      </c>
      <c r="AK11" s="28">
        <f>AB11*(1+$AO$5)^-B11</f>
        <v>58886.995946292329</v>
      </c>
      <c r="AL11" s="28">
        <f>AB11*(1+$AO$6)^-B11</f>
        <v>300.31747759225266</v>
      </c>
    </row>
    <row r="12" spans="1:41" x14ac:dyDescent="0.25">
      <c r="A12" s="88">
        <f t="shared" si="4"/>
        <v>5051.6562875665077</v>
      </c>
      <c r="B12" s="67">
        <v>10</v>
      </c>
      <c r="C12" s="28">
        <f>A12*_salePrice*12</f>
        <v>1879216.1389747411</v>
      </c>
      <c r="D12" s="28">
        <f>-A12*'Extra Calcs'!$L$12*12</f>
        <v>-1212397.5090159618</v>
      </c>
      <c r="E12" s="28">
        <f>-A12*'Extra Calcs'!$L$14*12</f>
        <v>-92748.409439721087</v>
      </c>
      <c r="F12" s="28">
        <f>-'Extra Calcs'!$L$15*12</f>
        <v>-2543</v>
      </c>
      <c r="G12" s="28">
        <f>-A12*'Extra Calcs'!$L$16*_LTD*12+'Extra Calcs'!$N$19</f>
        <v>-123208.75712905628</v>
      </c>
      <c r="H12" s="28">
        <v>-2000</v>
      </c>
      <c r="I12" s="28">
        <f t="shared" si="1"/>
        <v>-77520</v>
      </c>
      <c r="J12" s="28">
        <f t="shared" si="6"/>
        <v>-1510417.6755847393</v>
      </c>
      <c r="K12" s="28">
        <f t="shared" si="3"/>
        <v>345036.55339000182</v>
      </c>
      <c r="L12" s="28">
        <f>'Extra Calcs'!N5*3</f>
        <v>-27761.909999999996</v>
      </c>
      <c r="M12" s="28"/>
      <c r="N12" s="28">
        <f>2000*2</f>
        <v>4000</v>
      </c>
      <c r="O12" s="28">
        <f>O11-Q12</f>
        <v>5247.9865903500013</v>
      </c>
      <c r="P12" s="28">
        <f>L66-O66</f>
        <v>23621.403291084283</v>
      </c>
      <c r="Q12" s="28">
        <f>O11*0.3</f>
        <v>2249.1371101500004</v>
      </c>
      <c r="R12" s="28">
        <f>O66</f>
        <v>2935.1120727710718</v>
      </c>
      <c r="S12" s="28">
        <f>SUM(M12:N12)</f>
        <v>4000</v>
      </c>
      <c r="T12" s="28">
        <f>K12-AE12-Q12-R12</f>
        <v>339852.30420708074</v>
      </c>
      <c r="U12" s="28"/>
      <c r="V12" s="28">
        <f>T12*0.12</f>
        <v>40782.276504849688</v>
      </c>
      <c r="W12" s="54">
        <f>T12-V12</f>
        <v>299070.02770223108</v>
      </c>
      <c r="X12" s="28">
        <f>K12-V12</f>
        <v>304254.27688515215</v>
      </c>
      <c r="Y12" s="28">
        <f>3*A12*12</f>
        <v>181859.62635239429</v>
      </c>
      <c r="Z12" s="28"/>
      <c r="AA12" s="28">
        <f>W12-Y12</f>
        <v>117210.40134983679</v>
      </c>
      <c r="AB12" s="28">
        <f>X12-AI12-Y12-Z12</f>
        <v>122394.65053275786</v>
      </c>
      <c r="AC12" s="24"/>
      <c r="AD12" s="24"/>
      <c r="AE12" s="28"/>
      <c r="AF12" s="28"/>
      <c r="AG12" s="28"/>
      <c r="AH12" s="28"/>
      <c r="AI12" s="28"/>
      <c r="AJ12" s="62">
        <f>AA12+Q12+AF12+R12</f>
        <v>122394.65053275785</v>
      </c>
      <c r="AK12" s="28">
        <f>AB12*(1+$AO$5)^-B12</f>
        <v>47188.436174977425</v>
      </c>
      <c r="AL12" s="28">
        <f>AB12*(1+$AO$6)^-B12</f>
        <v>133.86941681725349</v>
      </c>
    </row>
    <row r="13" spans="1:41" x14ac:dyDescent="0.25">
      <c r="A13" s="87">
        <f t="shared" si="4"/>
        <v>5152.6894133178375</v>
      </c>
      <c r="B13" s="69">
        <v>11</v>
      </c>
      <c r="C13" s="64">
        <f>A13*_salePrice*12</f>
        <v>1916800.4617542357</v>
      </c>
      <c r="D13" s="41">
        <f>-A13*'Extra Calcs'!$L$12*12</f>
        <v>-1236645.4591962809</v>
      </c>
      <c r="E13" s="41">
        <f>-A13*'Extra Calcs'!$L$14*12</f>
        <v>-94603.377628515504</v>
      </c>
      <c r="F13" s="41">
        <f>-'Extra Calcs'!$L$15*12</f>
        <v>-2543</v>
      </c>
      <c r="G13" s="41">
        <f>-A13*'Extra Calcs'!$L$16*_LTD*12+'Extra Calcs'!$N$19</f>
        <v>-125572.9322716374</v>
      </c>
      <c r="H13" s="41">
        <v>-2000</v>
      </c>
      <c r="I13" s="41">
        <f t="shared" si="1"/>
        <v>-77520</v>
      </c>
      <c r="J13" s="56">
        <f t="shared" si="6"/>
        <v>-1538884.7690964339</v>
      </c>
      <c r="K13" s="70">
        <f t="shared" si="3"/>
        <v>377915.69265780179</v>
      </c>
      <c r="L13" s="71"/>
      <c r="M13" s="71"/>
      <c r="N13" s="71"/>
      <c r="O13" s="71">
        <f>O12-Q13</f>
        <v>3673.5906132450009</v>
      </c>
      <c r="P13" s="71">
        <f>P12-R13</f>
        <v>18897.122632867427</v>
      </c>
      <c r="Q13" s="73">
        <f>O12*0.3</f>
        <v>1574.3959771050004</v>
      </c>
      <c r="R13" s="73">
        <f>P12*0.2</f>
        <v>4724.2806582168569</v>
      </c>
      <c r="S13" s="71">
        <f>SUM(M13:N13)</f>
        <v>0</v>
      </c>
      <c r="T13" s="71">
        <f>K13-AE13-Q13-R13</f>
        <v>371617.01602247992</v>
      </c>
      <c r="U13" s="71"/>
      <c r="V13" s="71">
        <f t="shared" si="0"/>
        <v>44594.041922697586</v>
      </c>
      <c r="W13" s="74">
        <f t="shared" si="5"/>
        <v>327022.97409978235</v>
      </c>
      <c r="X13" s="75">
        <f>K13-V13</f>
        <v>333321.65073510422</v>
      </c>
      <c r="Y13" s="75">
        <f>3*A13*12</f>
        <v>185496.81887944214</v>
      </c>
      <c r="Z13" s="65"/>
      <c r="AA13" s="65">
        <f>W13-Y13</f>
        <v>141526.15522034021</v>
      </c>
      <c r="AB13" s="65">
        <f>X13-AI13-Y13-Z13</f>
        <v>147824.83185566208</v>
      </c>
      <c r="AC13" s="24"/>
      <c r="AD13" s="24"/>
      <c r="AE13" s="72"/>
      <c r="AF13" s="72"/>
      <c r="AG13" s="72"/>
      <c r="AH13" s="72"/>
      <c r="AI13" s="72"/>
      <c r="AJ13" s="62">
        <f>AA13+Q13+AF13+R13</f>
        <v>147824.83185566208</v>
      </c>
      <c r="AK13" s="28">
        <f>AB13*(1+$AO$5)^-B13</f>
        <v>51811.701757272131</v>
      </c>
      <c r="AL13" s="28">
        <f>AB13*(1+$AO$6)^-B13</f>
        <v>81.763264327971726</v>
      </c>
    </row>
    <row r="14" spans="1:41" x14ac:dyDescent="0.25">
      <c r="A14" s="86">
        <f t="shared" si="4"/>
        <v>5255.7432015841941</v>
      </c>
      <c r="B14" s="67">
        <v>12</v>
      </c>
      <c r="C14" s="28">
        <f>A14*_salePrice*12</f>
        <v>1955136.47098932</v>
      </c>
      <c r="D14" s="28">
        <f>-A14*'Extra Calcs'!$L$12*12</f>
        <v>-1261378.3683802066</v>
      </c>
      <c r="E14" s="28">
        <f>-A14*'Extra Calcs'!$L$14*12</f>
        <v>-96495.445181085801</v>
      </c>
      <c r="F14" s="28">
        <f>-'Extra Calcs'!$L$15*12</f>
        <v>-2543</v>
      </c>
      <c r="G14" s="28">
        <f>-A14*'Extra Calcs'!$L$16*_LTD*12+'Extra Calcs'!$N$19</f>
        <v>-127984.39091707015</v>
      </c>
      <c r="H14" s="28">
        <v>-2000</v>
      </c>
      <c r="I14" s="28">
        <f t="shared" si="1"/>
        <v>-77520</v>
      </c>
      <c r="J14" s="28">
        <f t="shared" si="6"/>
        <v>-1567921.2044783626</v>
      </c>
      <c r="K14" s="28">
        <f t="shared" si="3"/>
        <v>262215.26651095739</v>
      </c>
      <c r="L14" s="28">
        <f>'Extra Calcs'!N3</f>
        <v>-150000</v>
      </c>
      <c r="M14" s="28">
        <f>5000*'Extra Calcs'!M3</f>
        <v>25000</v>
      </c>
      <c r="N14" s="28"/>
      <c r="O14" s="28">
        <f>P68</f>
        <v>108821.51342927151</v>
      </c>
      <c r="P14" s="28">
        <f>P13-R14</f>
        <v>15117.698106293941</v>
      </c>
      <c r="Q14" s="28">
        <f>O68</f>
        <v>19852.077183973499</v>
      </c>
      <c r="R14" s="28">
        <f>P13*0.2</f>
        <v>3779.4245265734858</v>
      </c>
      <c r="S14" s="28">
        <f>SUM(M14:N14)</f>
        <v>25000</v>
      </c>
      <c r="T14" s="28">
        <f>K14-AE14-Q14-R14</f>
        <v>238583.7648004104</v>
      </c>
      <c r="U14" s="28"/>
      <c r="V14" s="28">
        <f t="shared" si="0"/>
        <v>28630.051776049248</v>
      </c>
      <c r="W14" s="54">
        <f t="shared" si="5"/>
        <v>209953.71302436115</v>
      </c>
      <c r="X14" s="28">
        <f>K14-V14</f>
        <v>233585.21473490814</v>
      </c>
      <c r="Y14" s="28">
        <f>3*A14*12</f>
        <v>189206.75525703098</v>
      </c>
      <c r="Z14" s="28"/>
      <c r="AA14" s="28">
        <f>W14-Y14</f>
        <v>20746.957767330168</v>
      </c>
      <c r="AB14" s="28">
        <f>X14-AI14-Y14-Z14</f>
        <v>44378.459477877157</v>
      </c>
      <c r="AC14" s="24"/>
      <c r="AD14" s="24"/>
      <c r="AE14" s="68"/>
      <c r="AF14" s="68"/>
      <c r="AG14" s="68"/>
      <c r="AH14" s="68"/>
      <c r="AI14" s="68"/>
      <c r="AJ14" s="62">
        <f>AA14+Q14+AF14+R14</f>
        <v>44378.45947787715</v>
      </c>
      <c r="AK14" s="28">
        <f>AB14*(1+$AO$5)^-B14</f>
        <v>14140.344832161922</v>
      </c>
      <c r="AL14" s="28">
        <f>AB14*(1+$AO$6)^-B14</f>
        <v>12.412948230987912</v>
      </c>
    </row>
    <row r="15" spans="1:41" x14ac:dyDescent="0.25">
      <c r="A15" s="87">
        <f t="shared" si="4"/>
        <v>5360.8580656158783</v>
      </c>
      <c r="B15" s="69">
        <v>13</v>
      </c>
      <c r="C15" s="64">
        <f>A15*_salePrice*12</f>
        <v>1994239.2004091069</v>
      </c>
      <c r="D15" s="41">
        <f>-A15*'Extra Calcs'!$L$12*12</f>
        <v>-1286605.9357478106</v>
      </c>
      <c r="E15" s="41">
        <f>-A15*'Extra Calcs'!$L$14*12</f>
        <v>-98425.354084707535</v>
      </c>
      <c r="F15" s="41">
        <f>-'Extra Calcs'!$L$15*12</f>
        <v>-2543</v>
      </c>
      <c r="G15" s="41">
        <f>-A15*'Extra Calcs'!$L$16*_LTD*12+'Extra Calcs'!$N$19</f>
        <v>-130444.07873541156</v>
      </c>
      <c r="H15" s="41">
        <v>-2000</v>
      </c>
      <c r="I15" s="41">
        <f>-6460*12*1.6</f>
        <v>-124032</v>
      </c>
      <c r="J15" s="56">
        <f t="shared" si="6"/>
        <v>-1644050.3685679298</v>
      </c>
      <c r="K15" s="70">
        <f t="shared" si="3"/>
        <v>350188.83184117707</v>
      </c>
      <c r="L15" s="71"/>
      <c r="M15" s="71"/>
      <c r="N15" s="71"/>
      <c r="O15" s="71">
        <f>O14-Q15</f>
        <v>76175.059400490049</v>
      </c>
      <c r="P15" s="71">
        <f>P14-R15</f>
        <v>12094.158485035154</v>
      </c>
      <c r="Q15" s="73">
        <f>O14*0.3</f>
        <v>32646.454028781453</v>
      </c>
      <c r="R15" s="73">
        <f>P14*0.2</f>
        <v>3023.5396212587884</v>
      </c>
      <c r="S15" s="71">
        <f>SUM(M15:N15)</f>
        <v>0</v>
      </c>
      <c r="T15" s="71">
        <f>K15-AE15-Q15-R15</f>
        <v>314518.83819113683</v>
      </c>
      <c r="U15" s="71"/>
      <c r="V15" s="71">
        <f>T15*0.12</f>
        <v>37742.260582936418</v>
      </c>
      <c r="W15" s="74">
        <f t="shared" si="5"/>
        <v>276776.57760820043</v>
      </c>
      <c r="X15" s="75">
        <f>K15-V15</f>
        <v>312446.57125824067</v>
      </c>
      <c r="Y15" s="75">
        <f>3*A15*12</f>
        <v>192990.89036217163</v>
      </c>
      <c r="Z15" s="65"/>
      <c r="AA15" s="65">
        <f>W15-Y15</f>
        <v>83785.6872460288</v>
      </c>
      <c r="AB15" s="65">
        <f>X15-AI15-Y15-Z15</f>
        <v>119455.68089606904</v>
      </c>
      <c r="AC15" s="24"/>
      <c r="AD15" s="24"/>
      <c r="AE15" s="72"/>
      <c r="AF15" s="72"/>
      <c r="AG15" s="72"/>
      <c r="AH15" s="72"/>
      <c r="AI15" s="72"/>
      <c r="AJ15" s="62">
        <f>AA15+Q15+AF15+R15</f>
        <v>119455.68089606904</v>
      </c>
      <c r="AK15" s="28">
        <f>AB15*(1+$AO$5)^-B15</f>
        <v>34602.055712783542</v>
      </c>
      <c r="AL15" s="28">
        <f>AB15*(1+$AO$6)^-B15</f>
        <v>16.896681717767528</v>
      </c>
    </row>
    <row r="16" spans="1:41" x14ac:dyDescent="0.25">
      <c r="A16" s="88">
        <f t="shared" si="4"/>
        <v>5468.0752269281957</v>
      </c>
      <c r="B16" s="67">
        <v>14</v>
      </c>
      <c r="C16" s="28">
        <f>A16*_salePrice*12</f>
        <v>2034123.9844172888</v>
      </c>
      <c r="D16" s="28">
        <f>-A16*'Extra Calcs'!$L$12*12</f>
        <v>-1312338.054462767</v>
      </c>
      <c r="E16" s="28">
        <f>-A16*'Extra Calcs'!$L$14*12</f>
        <v>-100393.86116640166</v>
      </c>
      <c r="F16" s="28">
        <f>-'Extra Calcs'!$L$15*12</f>
        <v>-2543</v>
      </c>
      <c r="G16" s="28">
        <f>-A16*'Extra Calcs'!$L$16*_LTD*12+'Extra Calcs'!$N$19</f>
        <v>-132952.96031011979</v>
      </c>
      <c r="H16" s="28">
        <v>-2000</v>
      </c>
      <c r="I16" s="28">
        <f t="shared" ref="I16:I22" si="7">-6460*12*1.6</f>
        <v>-124032</v>
      </c>
      <c r="J16" s="28">
        <f t="shared" si="6"/>
        <v>-1674259.8759392886</v>
      </c>
      <c r="K16" s="28">
        <f t="shared" si="3"/>
        <v>359864.10847800015</v>
      </c>
      <c r="L16" s="28"/>
      <c r="M16" s="28"/>
      <c r="N16" s="28"/>
      <c r="O16" s="28">
        <f>O15-Q16</f>
        <v>53322.541580343037</v>
      </c>
      <c r="P16" s="28">
        <f>P15-R16</f>
        <v>9675.3267880281237</v>
      </c>
      <c r="Q16" s="28">
        <f>O15*0.3</f>
        <v>22852.517820147015</v>
      </c>
      <c r="R16" s="28">
        <f>P15*0.2</f>
        <v>2418.8316970070309</v>
      </c>
      <c r="S16" s="28">
        <f>SUM(M16:N16)</f>
        <v>0</v>
      </c>
      <c r="T16" s="28">
        <f>K16-AE16-Q16-R16</f>
        <v>334592.75896084605</v>
      </c>
      <c r="U16" s="28"/>
      <c r="V16" s="28">
        <f t="shared" si="0"/>
        <v>40151.131075301528</v>
      </c>
      <c r="W16" s="54">
        <f t="shared" si="5"/>
        <v>294441.62788554456</v>
      </c>
      <c r="X16" s="28">
        <f>K16-V16</f>
        <v>319712.9774026986</v>
      </c>
      <c r="Y16" s="28">
        <f>3*A16*12</f>
        <v>196850.70816941507</v>
      </c>
      <c r="Z16" s="28"/>
      <c r="AA16" s="28">
        <f>W16-Y16</f>
        <v>97590.919716129487</v>
      </c>
      <c r="AB16" s="28">
        <f>X16-AI16-Y16-Z16</f>
        <v>122862.26923328353</v>
      </c>
      <c r="AC16" s="24"/>
      <c r="AD16" s="24"/>
      <c r="AE16" s="28"/>
      <c r="AF16" s="28"/>
      <c r="AG16" s="28"/>
      <c r="AH16" s="28"/>
      <c r="AI16" s="28"/>
      <c r="AJ16" s="62">
        <f>AA16+Q16+AF16+R16</f>
        <v>122862.26923328353</v>
      </c>
      <c r="AK16" s="28">
        <f>AB16*(1+$AO$5)^-B16</f>
        <v>32353.475464091822</v>
      </c>
      <c r="AL16" s="28">
        <f>AB16*(1+$AO$6)^-B16</f>
        <v>8.7883033872189351</v>
      </c>
    </row>
    <row r="17" spans="1:39" x14ac:dyDescent="0.25">
      <c r="A17" s="87">
        <f t="shared" si="4"/>
        <v>5577.4367314667597</v>
      </c>
      <c r="B17" s="69">
        <v>15</v>
      </c>
      <c r="C17" s="64">
        <f>A17*_salePrice*12</f>
        <v>2074806.4641056345</v>
      </c>
      <c r="D17" s="41">
        <f>-A17*'Extra Calcs'!$L$12*12</f>
        <v>-1338584.8155520223</v>
      </c>
      <c r="E17" s="41">
        <f>-A17*'Extra Calcs'!$L$14*12</f>
        <v>-102401.73838972973</v>
      </c>
      <c r="F17" s="41">
        <f>-'Extra Calcs'!$L$15*12</f>
        <v>-2543</v>
      </c>
      <c r="G17" s="41">
        <f>-A17*'Extra Calcs'!$L$16*_LTD*12+'Extra Calcs'!$N$19</f>
        <v>-135512.01951632218</v>
      </c>
      <c r="H17" s="41">
        <v>-2000</v>
      </c>
      <c r="I17" s="41">
        <f t="shared" si="7"/>
        <v>-124032</v>
      </c>
      <c r="J17" s="56">
        <f t="shared" si="6"/>
        <v>-1705073.5734580741</v>
      </c>
      <c r="K17" s="70">
        <f t="shared" si="3"/>
        <v>369732.89064756036</v>
      </c>
      <c r="L17" s="71"/>
      <c r="M17" s="71"/>
      <c r="N17" s="71"/>
      <c r="O17" s="71">
        <f>O16-Q17</f>
        <v>37325.779106240123</v>
      </c>
      <c r="P17" s="71">
        <f>P16-R17</f>
        <v>7740.261430422499</v>
      </c>
      <c r="Q17" s="73">
        <f>O16*0.3</f>
        <v>15996.76247410291</v>
      </c>
      <c r="R17" s="73">
        <f>P16*0.2</f>
        <v>1935.0653576056247</v>
      </c>
      <c r="S17" s="71">
        <f>SUM(M17:N17)</f>
        <v>0</v>
      </c>
      <c r="T17" s="71">
        <f>K17-AE17-Q17-R17</f>
        <v>351801.06281585182</v>
      </c>
      <c r="U17" s="71"/>
      <c r="V17" s="71">
        <f t="shared" si="0"/>
        <v>42216.127537902219</v>
      </c>
      <c r="W17" s="74">
        <f t="shared" si="5"/>
        <v>309584.93527794961</v>
      </c>
      <c r="X17" s="75">
        <f>K17-V17</f>
        <v>327516.76310965815</v>
      </c>
      <c r="Y17" s="75">
        <f>3*A17*12</f>
        <v>200787.72233280333</v>
      </c>
      <c r="Z17" s="65"/>
      <c r="AA17" s="65">
        <f>W17-Y17</f>
        <v>108797.21294514628</v>
      </c>
      <c r="AB17" s="65">
        <f>X17-AI17-Y17-Z17</f>
        <v>126729.04077685482</v>
      </c>
      <c r="AC17" s="24"/>
      <c r="AD17" s="24"/>
      <c r="AE17" s="72"/>
      <c r="AF17" s="72"/>
      <c r="AG17" s="72"/>
      <c r="AH17" s="72"/>
      <c r="AI17" s="72"/>
      <c r="AJ17" s="62">
        <f>AA17+Q17+AF17+R17</f>
        <v>126729.04077685482</v>
      </c>
      <c r="AK17" s="28">
        <f>AB17*(1+$AO$5)^-B17</f>
        <v>30337.92478615955</v>
      </c>
      <c r="AL17" s="28">
        <f>AB17*(1+$AO$6)^-B17</f>
        <v>4.5841049281443418</v>
      </c>
    </row>
    <row r="18" spans="1:39" x14ac:dyDescent="0.25">
      <c r="A18" s="86">
        <f t="shared" si="4"/>
        <v>5688.9854660960955</v>
      </c>
      <c r="B18" s="67">
        <v>16</v>
      </c>
      <c r="C18" s="28">
        <f>A18*_salePrice*12</f>
        <v>2116302.5933877476</v>
      </c>
      <c r="D18" s="28">
        <f>-A18*'Extra Calcs'!$L$12*12</f>
        <v>-1365356.5118630629</v>
      </c>
      <c r="E18" s="28">
        <f>-A18*'Extra Calcs'!$L$14*12</f>
        <v>-104449.77315752432</v>
      </c>
      <c r="F18" s="28">
        <f>-'Extra Calcs'!$L$15*12</f>
        <v>-2543</v>
      </c>
      <c r="G18" s="28">
        <f>-A18*'Extra Calcs'!$L$16*_LTD*12+'Extra Calcs'!$N$19</f>
        <v>-138122.25990664863</v>
      </c>
      <c r="H18" s="28">
        <v>-2000</v>
      </c>
      <c r="I18" s="28">
        <f t="shared" si="7"/>
        <v>-124032</v>
      </c>
      <c r="J18" s="28">
        <f t="shared" si="6"/>
        <v>-1736503.5449272359</v>
      </c>
      <c r="K18" s="28">
        <f t="shared" si="3"/>
        <v>379799.04846051172</v>
      </c>
      <c r="L18" s="28"/>
      <c r="M18" s="28"/>
      <c r="N18" s="28"/>
      <c r="O18" s="28">
        <f>O17-Q18</f>
        <v>26128.045374368085</v>
      </c>
      <c r="P18" s="28">
        <f>P17-R18</f>
        <v>6192.2091443379995</v>
      </c>
      <c r="Q18" s="28">
        <f>O17*0.3</f>
        <v>11197.733731872037</v>
      </c>
      <c r="R18" s="28">
        <f>P17*0.2</f>
        <v>1548.0522860844999</v>
      </c>
      <c r="S18" s="28">
        <f>SUM(M18:N18)</f>
        <v>0</v>
      </c>
      <c r="T18" s="28">
        <f>K18-AE18-Q18-R18</f>
        <v>367053.26244255516</v>
      </c>
      <c r="U18" s="28"/>
      <c r="V18" s="28">
        <f t="shared" si="0"/>
        <v>44046.391493106617</v>
      </c>
      <c r="W18" s="54">
        <f t="shared" si="5"/>
        <v>323006.87094944855</v>
      </c>
      <c r="X18" s="28">
        <f>K18-V18</f>
        <v>335752.65696740511</v>
      </c>
      <c r="Y18" s="28">
        <f>3*A18*12</f>
        <v>204803.47677945945</v>
      </c>
      <c r="Z18" s="28"/>
      <c r="AA18" s="28">
        <f>W18-Y18</f>
        <v>118203.3941699891</v>
      </c>
      <c r="AB18" s="28">
        <f>X18-AI18-Y18-Z18</f>
        <v>130949.18018794566</v>
      </c>
      <c r="AC18" s="24"/>
      <c r="AD18" s="24"/>
      <c r="AE18" s="68"/>
      <c r="AF18" s="68"/>
      <c r="AG18" s="68"/>
      <c r="AH18" s="68"/>
      <c r="AI18" s="68"/>
      <c r="AJ18" s="62">
        <f>AA18+Q18+AF18+R18</f>
        <v>130949.18018794563</v>
      </c>
      <c r="AK18" s="28">
        <f>AB18*(1+$AO$5)^-B18</f>
        <v>28498.356916731052</v>
      </c>
      <c r="AL18" s="28">
        <f>AB18*(1+$AO$6)^-B18</f>
        <v>2.3953726114387011</v>
      </c>
    </row>
    <row r="19" spans="1:39" x14ac:dyDescent="0.25">
      <c r="A19" s="87">
        <f t="shared" si="4"/>
        <v>5802.7651754180179</v>
      </c>
      <c r="B19" s="69">
        <v>17</v>
      </c>
      <c r="C19" s="64">
        <f>A19*_salePrice*12</f>
        <v>2158628.6452555023</v>
      </c>
      <c r="D19" s="41">
        <f>-A19*'Extra Calcs'!$L$12*12</f>
        <v>-1392663.6421003244</v>
      </c>
      <c r="E19" s="41">
        <f>-A19*'Extra Calcs'!$L$14*12</f>
        <v>-106538.76862067482</v>
      </c>
      <c r="F19" s="41">
        <f>-'Extra Calcs'!$L$15*12</f>
        <v>-2543</v>
      </c>
      <c r="G19" s="41">
        <f>-A19*'Extra Calcs'!$L$16*_LTD*12+'Extra Calcs'!$N$19</f>
        <v>-140784.70510478163</v>
      </c>
      <c r="H19" s="41">
        <v>-2000</v>
      </c>
      <c r="I19" s="41">
        <f t="shared" si="7"/>
        <v>-124032</v>
      </c>
      <c r="J19" s="56">
        <f t="shared" si="6"/>
        <v>-1768562.1158257807</v>
      </c>
      <c r="K19" s="70">
        <f t="shared" si="3"/>
        <v>390066.52942972165</v>
      </c>
      <c r="L19" s="71"/>
      <c r="M19" s="71"/>
      <c r="N19" s="71"/>
      <c r="O19" s="71">
        <f>O18-Q19</f>
        <v>18289.631762057659</v>
      </c>
      <c r="P19" s="71">
        <f>P18-R19</f>
        <v>4953.7673154703998</v>
      </c>
      <c r="Q19" s="73">
        <f>O18*0.3</f>
        <v>7838.4136123104254</v>
      </c>
      <c r="R19" s="73">
        <f>P18*0.2</f>
        <v>1238.4418288676</v>
      </c>
      <c r="S19" s="71">
        <f>SUM(M19:N19)</f>
        <v>0</v>
      </c>
      <c r="T19" s="71">
        <f>K19-AE19-Q19-R19</f>
        <v>380989.67398854363</v>
      </c>
      <c r="U19" s="71"/>
      <c r="V19" s="71">
        <f t="shared" si="0"/>
        <v>45718.760878625231</v>
      </c>
      <c r="W19" s="74">
        <f t="shared" si="5"/>
        <v>335270.91310991842</v>
      </c>
      <c r="X19" s="75">
        <f>K19-V19</f>
        <v>344347.76855109644</v>
      </c>
      <c r="Y19" s="75">
        <f>3*A19*12</f>
        <v>208899.54631504865</v>
      </c>
      <c r="Z19" s="65"/>
      <c r="AA19" s="65">
        <f>W19-Y19</f>
        <v>126371.36679486977</v>
      </c>
      <c r="AB19" s="65">
        <f>X19-AI19-Y19-Z19</f>
        <v>135448.22223604779</v>
      </c>
      <c r="AC19" s="24"/>
      <c r="AD19" s="24"/>
      <c r="AE19" s="72"/>
      <c r="AF19" s="72"/>
      <c r="AG19" s="72"/>
      <c r="AH19" s="72"/>
      <c r="AI19" s="72"/>
      <c r="AJ19" s="62">
        <f>AA19+Q19+AF19+R19</f>
        <v>135448.22223604779</v>
      </c>
      <c r="AK19" s="28">
        <f>AB19*(1+$AO$5)^-B19</f>
        <v>26797.708681402783</v>
      </c>
      <c r="AL19" s="28">
        <f>AB19*(1+$AO$6)^-B19</f>
        <v>1.2529550718421631</v>
      </c>
    </row>
    <row r="20" spans="1:39" x14ac:dyDescent="0.25">
      <c r="A20" s="88">
        <f t="shared" si="4"/>
        <v>5918.8204789263782</v>
      </c>
      <c r="B20" s="67">
        <v>18</v>
      </c>
      <c r="C20" s="28">
        <f>A20*_salePrice*12</f>
        <v>2201801.2181606125</v>
      </c>
      <c r="D20" s="28">
        <f>-A20*'Extra Calcs'!$L$12*12</f>
        <v>-1420516.9149423307</v>
      </c>
      <c r="E20" s="28">
        <f>-A20*'Extra Calcs'!$L$14*12</f>
        <v>-108669.54399308831</v>
      </c>
      <c r="F20" s="28">
        <f>-'Extra Calcs'!$L$15*12</f>
        <v>-2543</v>
      </c>
      <c r="G20" s="28">
        <f>-A20*'Extra Calcs'!$L$16*_LTD*12+'Extra Calcs'!$N$19</f>
        <v>-143500.39920687728</v>
      </c>
      <c r="H20" s="28">
        <v>-2000</v>
      </c>
      <c r="I20" s="28">
        <f t="shared" si="7"/>
        <v>-124032</v>
      </c>
      <c r="J20" s="28">
        <f t="shared" si="6"/>
        <v>-1801261.8581422963</v>
      </c>
      <c r="K20" s="28">
        <f t="shared" si="3"/>
        <v>400539.36001831619</v>
      </c>
      <c r="L20" s="28"/>
      <c r="M20" s="28"/>
      <c r="N20" s="28"/>
      <c r="O20" s="28">
        <f>O19-Q20</f>
        <v>12802.742233440362</v>
      </c>
      <c r="P20" s="28">
        <f>P19-R20</f>
        <v>3963.0138523763198</v>
      </c>
      <c r="Q20" s="28">
        <f>O19*0.3</f>
        <v>5486.8895286172974</v>
      </c>
      <c r="R20" s="28">
        <f>P19*0.2</f>
        <v>990.75346309407996</v>
      </c>
      <c r="S20" s="28">
        <f>SUM(M20:N20)</f>
        <v>0</v>
      </c>
      <c r="T20" s="28">
        <f>K20-AE20-Q20-R20</f>
        <v>394061.71702660481</v>
      </c>
      <c r="U20" s="28"/>
      <c r="V20" s="28">
        <f t="shared" si="0"/>
        <v>47287.406043192575</v>
      </c>
      <c r="W20" s="54">
        <f t="shared" si="5"/>
        <v>346774.3109834122</v>
      </c>
      <c r="X20" s="28">
        <f>K20-V20</f>
        <v>353251.95397512359</v>
      </c>
      <c r="Y20" s="28">
        <f>3*A20*12</f>
        <v>213077.53724134964</v>
      </c>
      <c r="Z20" s="28"/>
      <c r="AA20" s="28">
        <f>W20-Y20</f>
        <v>133696.77374206256</v>
      </c>
      <c r="AB20" s="28">
        <f>X20-AI20-Y20-Z20</f>
        <v>140174.41673377395</v>
      </c>
      <c r="AC20" s="24"/>
      <c r="AD20" s="24"/>
      <c r="AE20" s="28"/>
      <c r="AF20" s="28"/>
      <c r="AG20" s="28"/>
      <c r="AH20" s="28"/>
      <c r="AI20" s="28"/>
      <c r="AJ20" s="62">
        <f>AA20+Q20+AF20+R20</f>
        <v>140174.41673377395</v>
      </c>
      <c r="AK20" s="28">
        <f>AB20*(1+$AO$5)^-B20</f>
        <v>25211.60096996641</v>
      </c>
      <c r="AL20" s="28">
        <f>AB20*(1+$AO$6)^-B20</f>
        <v>0.65572665866120827</v>
      </c>
    </row>
    <row r="21" spans="1:39" x14ac:dyDescent="0.25">
      <c r="A21" s="87">
        <f t="shared" si="4"/>
        <v>6037.1968885049055</v>
      </c>
      <c r="B21" s="69">
        <v>19</v>
      </c>
      <c r="C21" s="64">
        <f>A21*_salePrice*12</f>
        <v>2245837.2425238248</v>
      </c>
      <c r="D21" s="41">
        <f>-A21*'Extra Calcs'!$L$12*12</f>
        <v>-1448927.2532411774</v>
      </c>
      <c r="E21" s="41">
        <f>-A21*'Extra Calcs'!$L$14*12</f>
        <v>-110842.93487295008</v>
      </c>
      <c r="F21" s="41">
        <f>-'Extra Calcs'!$L$15*12</f>
        <v>-2543</v>
      </c>
      <c r="G21" s="41">
        <f>-A21*'Extra Calcs'!$L$16*_LTD*12+'Extra Calcs'!$N$19</f>
        <v>-146270.40719101479</v>
      </c>
      <c r="H21" s="41">
        <v>-2000</v>
      </c>
      <c r="I21" s="41">
        <f t="shared" si="7"/>
        <v>-124032</v>
      </c>
      <c r="J21" s="56">
        <f t="shared" si="6"/>
        <v>-1834615.5953051425</v>
      </c>
      <c r="K21" s="70">
        <f t="shared" si="3"/>
        <v>411221.64721868234</v>
      </c>
      <c r="L21" s="71"/>
      <c r="M21" s="71"/>
      <c r="N21" s="71"/>
      <c r="O21" s="71">
        <f>O20-Q21</f>
        <v>8961.9195634082535</v>
      </c>
      <c r="P21" s="71">
        <f>P20-R21</f>
        <v>3170.4110819010557</v>
      </c>
      <c r="Q21" s="73">
        <f>O20*0.3</f>
        <v>3840.8226700321084</v>
      </c>
      <c r="R21" s="73">
        <f>P20*0.2</f>
        <v>792.60277047526404</v>
      </c>
      <c r="S21" s="71">
        <f>SUM(M21:N21)</f>
        <v>0</v>
      </c>
      <c r="T21" s="71">
        <f>K21-AE21-Q21-R21</f>
        <v>406588.22177817498</v>
      </c>
      <c r="U21" s="71"/>
      <c r="V21" s="71">
        <f t="shared" si="0"/>
        <v>48790.586613380998</v>
      </c>
      <c r="W21" s="74">
        <f t="shared" si="5"/>
        <v>357797.63516479399</v>
      </c>
      <c r="X21" s="75">
        <f>K21-V21</f>
        <v>362431.06060530135</v>
      </c>
      <c r="Y21" s="75">
        <f>3*A21*12</f>
        <v>217339.0879861766</v>
      </c>
      <c r="Z21" s="65"/>
      <c r="AA21" s="65">
        <f>W21-Y21</f>
        <v>140458.54717861739</v>
      </c>
      <c r="AB21" s="65">
        <f>X21-AI21-Y21-Z21</f>
        <v>145091.97261912475</v>
      </c>
      <c r="AC21" s="24"/>
      <c r="AD21" s="24"/>
      <c r="AE21" s="72"/>
      <c r="AF21" s="72"/>
      <c r="AG21" s="72"/>
      <c r="AH21" s="72"/>
      <c r="AI21" s="72"/>
      <c r="AJ21" s="62">
        <f>AA21+Q21+AF21+R21</f>
        <v>145091.97261912475</v>
      </c>
      <c r="AK21" s="28">
        <f>AB21*(1+$AO$5)^-B21</f>
        <v>23723.696928015026</v>
      </c>
      <c r="AL21" s="28">
        <f>AB21*(1+$AO$6)^-B21</f>
        <v>0.34323325696745577</v>
      </c>
    </row>
    <row r="22" spans="1:39" x14ac:dyDescent="0.25">
      <c r="A22" s="89">
        <f t="shared" si="4"/>
        <v>6157.9408262750039</v>
      </c>
      <c r="B22" s="90">
        <v>20</v>
      </c>
      <c r="C22" s="91">
        <f>A22*_salePrice*12</f>
        <v>2290753.9873743015</v>
      </c>
      <c r="D22" s="91">
        <f>-A22*'Extra Calcs'!$L$12*12</f>
        <v>-1477905.7983060009</v>
      </c>
      <c r="E22" s="91">
        <f>-A22*'Extra Calcs'!$L$14*12</f>
        <v>-113059.79357040908</v>
      </c>
      <c r="F22" s="91">
        <f>-'Extra Calcs'!$L$15*12</f>
        <v>-2543</v>
      </c>
      <c r="G22" s="91">
        <f>-A22*'Extra Calcs'!$L$16*_LTD*12+'Extra Calcs'!$N$19</f>
        <v>-149095.81533483509</v>
      </c>
      <c r="H22" s="91">
        <v>-2000</v>
      </c>
      <c r="I22" s="91">
        <f t="shared" si="7"/>
        <v>-124032</v>
      </c>
      <c r="J22" s="91">
        <f>SUM(D22:I22)</f>
        <v>-1868636.407211245</v>
      </c>
      <c r="K22" s="91">
        <f>SUM(J22,C22)+L22+M22+N22</f>
        <v>490617.5801630565</v>
      </c>
      <c r="L22" s="91"/>
      <c r="M22" s="91">
        <f>12500*'Extra Calcs'!M3</f>
        <v>62500</v>
      </c>
      <c r="N22" s="91">
        <f>2000*3</f>
        <v>6000</v>
      </c>
      <c r="O22" s="91">
        <f>O21-Q22</f>
        <v>6273.3436943857778</v>
      </c>
      <c r="P22" s="91">
        <f>P21-R22</f>
        <v>2536.3288655208444</v>
      </c>
      <c r="Q22" s="91">
        <f>O21*0.3</f>
        <v>2688.5758690224761</v>
      </c>
      <c r="R22" s="91">
        <f>P21*0.2</f>
        <v>634.08221638021121</v>
      </c>
      <c r="S22" s="91">
        <f>(M22+N22)-((M22-O22)*0.3+(N22-P22)*0.2)</f>
        <v>50939.268881419906</v>
      </c>
      <c r="T22" s="91">
        <f>K22-AE22-Q22-R22</f>
        <v>487294.92207765381</v>
      </c>
      <c r="U22" s="91">
        <f>(M22-O22)*'Initial Variables'!B6+(N22-P22)*'Initial Variables'!B5</f>
        <v>17560.731118580097</v>
      </c>
      <c r="V22" s="91">
        <f>T22*0.12+U22</f>
        <v>76036.121767898556</v>
      </c>
      <c r="W22" s="92">
        <f>T22-V22</f>
        <v>411258.80030975526</v>
      </c>
      <c r="X22" s="91">
        <f>K22-V22</f>
        <v>414581.45839515794</v>
      </c>
      <c r="Y22" s="91">
        <f t="shared" ref="Y22" si="8">3*A22*12</f>
        <v>221685.86974590016</v>
      </c>
      <c r="Z22" s="91">
        <v>-50000</v>
      </c>
      <c r="AA22" s="91">
        <f>W22-Y22</f>
        <v>189572.9305638551</v>
      </c>
      <c r="AB22" s="91">
        <f>X22-AI22-Y22-Z22</f>
        <v>242895.58864925778</v>
      </c>
      <c r="AC22" s="24"/>
      <c r="AD22" s="24"/>
      <c r="AE22" s="68"/>
      <c r="AF22" s="68"/>
      <c r="AG22" s="68"/>
      <c r="AH22" s="68"/>
      <c r="AI22" s="68"/>
      <c r="AJ22" s="62">
        <f>AA22+Q22+AF22+R22-Z22</f>
        <v>242895.58864925781</v>
      </c>
      <c r="AK22" s="91">
        <f>AB22*(1+$AO$5)^-B22</f>
        <v>36104.881527885642</v>
      </c>
      <c r="AL22" s="91">
        <f>AB22*(1+$AO$6)^-B22</f>
        <v>0.29057449858016271</v>
      </c>
    </row>
    <row r="23" spans="1:39" x14ac:dyDescent="0.25">
      <c r="AL23" s="19">
        <f>SUM(AL2:AL22)</f>
        <v>-1.3287257740746128E-4</v>
      </c>
      <c r="AM23" s="30" t="s">
        <v>106</v>
      </c>
    </row>
    <row r="28" spans="1:39" x14ac:dyDescent="0.25">
      <c r="AD28" s="30"/>
      <c r="AG28" s="30"/>
    </row>
    <row r="29" spans="1:39" x14ac:dyDescent="0.25">
      <c r="AD29" s="30"/>
      <c r="AE29" s="46"/>
      <c r="AH29" s="30"/>
    </row>
    <row r="30" spans="1:39" x14ac:dyDescent="0.25">
      <c r="AD30" s="24"/>
      <c r="AE30" s="53"/>
      <c r="AF30" s="24"/>
      <c r="AG30" s="24"/>
      <c r="AH30" s="43"/>
      <c r="AI30" s="24"/>
    </row>
    <row r="34" spans="1:34" s="24" customFormat="1" ht="18.75" customHeight="1" x14ac:dyDescent="0.25">
      <c r="A34" s="29"/>
      <c r="B34" s="29"/>
      <c r="C34" s="57"/>
      <c r="D34" s="58" t="s">
        <v>66</v>
      </c>
      <c r="E34" s="58"/>
      <c r="F34" s="58"/>
      <c r="G34" s="58"/>
      <c r="H34" s="58"/>
      <c r="I34" s="58"/>
      <c r="J34" s="57"/>
      <c r="K34" s="58"/>
      <c r="L34" s="58"/>
      <c r="M34" s="58"/>
      <c r="N34" s="58"/>
      <c r="O34" s="58"/>
      <c r="P34" s="58"/>
      <c r="Q34" s="58"/>
      <c r="R34" s="58"/>
      <c r="S34" s="55"/>
      <c r="T34" s="58"/>
      <c r="U34" s="58"/>
      <c r="V34" s="58"/>
      <c r="W34" s="58"/>
      <c r="X34" s="29"/>
      <c r="Y34" s="55"/>
      <c r="Z34" s="29"/>
      <c r="AA34" s="29"/>
      <c r="AB34" s="29"/>
      <c r="AC34" s="29"/>
      <c r="AD34" s="58"/>
      <c r="AE34" s="58"/>
      <c r="AF34" s="58"/>
      <c r="AG34" s="58"/>
      <c r="AH34" s="58"/>
    </row>
    <row r="35" spans="1:34" s="25" customFormat="1" x14ac:dyDescent="0.25"/>
    <row r="36" spans="1:34" s="24" customFormat="1" x14ac:dyDescent="0.25"/>
    <row r="37" spans="1:34" s="24" customFormat="1" x14ac:dyDescent="0.25"/>
    <row r="38" spans="1:34" s="24" customFormat="1" x14ac:dyDescent="0.25"/>
    <row r="39" spans="1:34" s="24" customFormat="1" x14ac:dyDescent="0.25"/>
    <row r="40" spans="1:34" s="24" customFormat="1" x14ac:dyDescent="0.25"/>
    <row r="41" spans="1:34" s="24" customFormat="1" x14ac:dyDescent="0.25"/>
    <row r="42" spans="1:34" s="24" customFormat="1" x14ac:dyDescent="0.25"/>
    <row r="43" spans="1:34" s="24" customFormat="1" x14ac:dyDescent="0.25"/>
    <row r="44" spans="1:34" s="24" customFormat="1" x14ac:dyDescent="0.25"/>
    <row r="45" spans="1:34" s="24" customFormat="1" x14ac:dyDescent="0.25"/>
    <row r="46" spans="1:34" s="24" customFormat="1" x14ac:dyDescent="0.25"/>
    <row r="47" spans="1:34" s="24" customFormat="1" x14ac:dyDescent="0.25"/>
    <row r="48" spans="1:34" s="24" customFormat="1" x14ac:dyDescent="0.25"/>
    <row r="49" s="24" customFormat="1" x14ac:dyDescent="0.25"/>
    <row r="50" s="24" customFormat="1" x14ac:dyDescent="0.25"/>
    <row r="51" s="24" customFormat="1" x14ac:dyDescent="0.25"/>
    <row r="52" s="24" customFormat="1" x14ac:dyDescent="0.25"/>
    <row r="53" s="24" customFormat="1" x14ac:dyDescent="0.25"/>
    <row r="54" s="24" customFormat="1" x14ac:dyDescent="0.25"/>
    <row r="55" s="24" customFormat="1" x14ac:dyDescent="0.25"/>
    <row r="56" s="24" customFormat="1" x14ac:dyDescent="0.25"/>
    <row r="57" s="24" customFormat="1" x14ac:dyDescent="0.25"/>
    <row r="65" spans="5:16" x14ac:dyDescent="0.25">
      <c r="E65" s="30"/>
      <c r="L65" s="2" t="s">
        <v>10</v>
      </c>
      <c r="M65" s="8">
        <v>0.5</v>
      </c>
      <c r="N65" s="9" t="s">
        <v>11</v>
      </c>
      <c r="O65" s="9" t="s">
        <v>12</v>
      </c>
      <c r="P65" s="3"/>
    </row>
    <row r="66" spans="5:16" x14ac:dyDescent="0.25">
      <c r="E66" s="30"/>
      <c r="L66" s="26">
        <f>P11-N12-L12</f>
        <v>26556.515363855357</v>
      </c>
      <c r="M66">
        <f>-(L12+N12)/2</f>
        <v>11880.954999999998</v>
      </c>
      <c r="N66" s="19">
        <f>L66-M66</f>
        <v>14675.560363855358</v>
      </c>
      <c r="O66">
        <f>N66*0.2</f>
        <v>2935.1120727710718</v>
      </c>
      <c r="P66" s="5"/>
    </row>
    <row r="67" spans="5:16" x14ac:dyDescent="0.25">
      <c r="E67" s="30"/>
      <c r="G67" s="30"/>
      <c r="I67" s="30"/>
      <c r="L67" s="4" t="s">
        <v>13</v>
      </c>
      <c r="M67" s="1" t="s">
        <v>14</v>
      </c>
      <c r="N67" s="1" t="s">
        <v>11</v>
      </c>
      <c r="O67" s="1" t="s">
        <v>15</v>
      </c>
      <c r="P67" s="5" t="s">
        <v>16</v>
      </c>
    </row>
    <row r="68" spans="5:16" x14ac:dyDescent="0.25">
      <c r="E68" s="30"/>
      <c r="G68" s="30"/>
      <c r="L68" s="27">
        <f>O13-L14-M14</f>
        <v>128673.590613245</v>
      </c>
      <c r="M68" s="10">
        <f>(-L14-M14)/2</f>
        <v>62500</v>
      </c>
      <c r="N68" s="10">
        <f>L68-M68</f>
        <v>66173.590613245004</v>
      </c>
      <c r="O68" s="10">
        <f>N68*0.3</f>
        <v>19852.077183973499</v>
      </c>
      <c r="P68" s="32">
        <f>L68-O68</f>
        <v>108821.51342927151</v>
      </c>
    </row>
  </sheetData>
  <mergeCells count="5">
    <mergeCell ref="AN1:AO1"/>
    <mergeCell ref="AD34:AH34"/>
    <mergeCell ref="T34:W34"/>
    <mergeCell ref="D34:I34"/>
    <mergeCell ref="K34:R34"/>
  </mergeCells>
  <pageMargins left="0.7" right="0.7" top="0.75" bottom="0.75" header="0.3" footer="0.3"/>
  <pageSetup orientation="portrait" horizontalDpi="4294967293" verticalDpi="4294967293"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F94D0-79F2-4646-BB3F-5C1E96F82069}">
  <sheetPr codeName="Sheet4"/>
  <dimension ref="A1:O89"/>
  <sheetViews>
    <sheetView topLeftCell="A13" zoomScale="70" zoomScaleNormal="70" workbookViewId="0">
      <selection activeCell="S5" sqref="S5"/>
    </sheetView>
    <sheetView tabSelected="1" zoomScale="85" zoomScaleNormal="85" workbookViewId="1">
      <selection activeCell="H20" sqref="H20"/>
    </sheetView>
  </sheetViews>
  <sheetFormatPr defaultRowHeight="12.5" x14ac:dyDescent="0.25"/>
  <cols>
    <col min="11" max="11" width="22.90625" customWidth="1"/>
    <col min="15" max="15" width="25.90625" customWidth="1"/>
  </cols>
  <sheetData>
    <row r="1" spans="1:15" ht="13.5" thickBot="1" x14ac:dyDescent="0.35">
      <c r="A1" s="61" t="s">
        <v>27</v>
      </c>
      <c r="B1" s="61"/>
      <c r="C1" s="61"/>
      <c r="D1" s="61"/>
      <c r="E1" s="61"/>
      <c r="F1" s="61"/>
      <c r="K1" s="59" t="s">
        <v>81</v>
      </c>
      <c r="L1" s="59"/>
      <c r="M1" s="59"/>
      <c r="N1" s="59"/>
      <c r="O1" s="59"/>
    </row>
    <row r="2" spans="1:15" ht="14" thickTop="1" thickBot="1" x14ac:dyDescent="0.35">
      <c r="A2" s="48" t="s">
        <v>40</v>
      </c>
      <c r="B2" s="49" t="s">
        <v>41</v>
      </c>
      <c r="C2" s="49" t="s">
        <v>42</v>
      </c>
      <c r="D2" s="49" t="s">
        <v>43</v>
      </c>
      <c r="E2" s="49" t="s">
        <v>44</v>
      </c>
      <c r="F2" s="50" t="s">
        <v>27</v>
      </c>
      <c r="K2" s="35" t="s">
        <v>0</v>
      </c>
      <c r="L2" s="36" t="s">
        <v>1</v>
      </c>
      <c r="M2" s="36" t="s">
        <v>2</v>
      </c>
      <c r="N2" s="36" t="s">
        <v>3</v>
      </c>
      <c r="O2" s="36" t="s">
        <v>4</v>
      </c>
    </row>
    <row r="3" spans="1:15" ht="13.5" thickTop="1" x14ac:dyDescent="0.3">
      <c r="A3" s="45">
        <v>0</v>
      </c>
      <c r="B3" s="46"/>
      <c r="C3" s="46"/>
      <c r="D3" s="31">
        <f>B24</f>
        <v>200000</v>
      </c>
      <c r="E3" s="46"/>
      <c r="F3" s="47"/>
      <c r="K3" s="37" t="s">
        <v>5</v>
      </c>
      <c r="L3" s="38">
        <v>30000</v>
      </c>
      <c r="M3" s="38">
        <v>5</v>
      </c>
      <c r="N3" s="38">
        <f>-M3*L3</f>
        <v>-150000</v>
      </c>
      <c r="O3" s="38" t="s">
        <v>6</v>
      </c>
    </row>
    <row r="4" spans="1:15" ht="13" x14ac:dyDescent="0.3">
      <c r="A4" s="48">
        <v>1</v>
      </c>
      <c r="B4" s="51">
        <f>SUM(B27:B38)</f>
        <v>18321.201502307715</v>
      </c>
      <c r="C4" s="51">
        <f>SUM(C27:C38)</f>
        <v>32535.413055133533</v>
      </c>
      <c r="D4" s="51">
        <f>D3-C4</f>
        <v>167464.58694486646</v>
      </c>
      <c r="E4" s="49"/>
      <c r="F4" s="52">
        <f>SUM(B4,C4,E4)</f>
        <v>50856.614557441251</v>
      </c>
      <c r="K4" s="34" t="s">
        <v>7</v>
      </c>
      <c r="L4" s="33">
        <v>4400</v>
      </c>
      <c r="M4" s="33">
        <v>1</v>
      </c>
      <c r="N4" s="33">
        <f>-L4*M4</f>
        <v>-4400</v>
      </c>
      <c r="O4" s="33" t="s">
        <v>110</v>
      </c>
    </row>
    <row r="5" spans="1:15" ht="13" x14ac:dyDescent="0.3">
      <c r="A5" s="45">
        <v>2</v>
      </c>
      <c r="B5" s="46">
        <f>SUM(B39:B50)</f>
        <v>14955.469117293847</v>
      </c>
      <c r="C5" s="46">
        <f>SUM(C39:C50)</f>
        <v>35901.145440147397</v>
      </c>
      <c r="D5" s="31">
        <f>D4-C5</f>
        <v>131563.44150471906</v>
      </c>
      <c r="E5" s="46"/>
      <c r="F5" s="47">
        <f>SUM(B5,C5,E5)</f>
        <v>50856.614557441244</v>
      </c>
      <c r="K5" s="39" t="s">
        <v>8</v>
      </c>
      <c r="L5" s="40">
        <f>8072+989+59.99*2+72.99</f>
        <v>9253.9699999999993</v>
      </c>
      <c r="M5" s="40">
        <v>1</v>
      </c>
      <c r="N5" s="40">
        <f>-L5*M5</f>
        <v>-9253.9699999999993</v>
      </c>
      <c r="O5" s="40" t="s">
        <v>112</v>
      </c>
    </row>
    <row r="6" spans="1:15" ht="13" x14ac:dyDescent="0.3">
      <c r="A6" s="48">
        <v>3</v>
      </c>
      <c r="B6" s="51">
        <f>SUM(B51:B62)</f>
        <v>11241.55752003716</v>
      </c>
      <c r="C6" s="51">
        <f>SUM(C51:C62)</f>
        <v>39615.057037404084</v>
      </c>
      <c r="D6" s="51">
        <f>D5-C6</f>
        <v>91948.384467314972</v>
      </c>
      <c r="E6" s="49"/>
      <c r="F6" s="52">
        <f>SUM(B6,C6,E6)</f>
        <v>50856.614557441244</v>
      </c>
      <c r="K6" s="34" t="s">
        <v>9</v>
      </c>
      <c r="L6" s="33">
        <v>3000</v>
      </c>
      <c r="M6" s="33">
        <v>1</v>
      </c>
      <c r="N6" s="33">
        <f>-L6*M6</f>
        <v>-3000</v>
      </c>
      <c r="O6" s="33" t="s">
        <v>111</v>
      </c>
    </row>
    <row r="7" spans="1:15" ht="13" x14ac:dyDescent="0.3">
      <c r="A7" s="45">
        <v>4</v>
      </c>
      <c r="B7" s="46">
        <f>SUM(B63:B74)</f>
        <v>7143.4481713401246</v>
      </c>
      <c r="C7" s="46">
        <f>SUM(C63:C74)</f>
        <v>43713.166386101118</v>
      </c>
      <c r="D7" s="31">
        <f>D6-C7</f>
        <v>48235.218081213854</v>
      </c>
      <c r="E7" s="46"/>
      <c r="F7" s="47">
        <f>SUM(B7,C7,E7)</f>
        <v>50856.614557441244</v>
      </c>
      <c r="K7" s="39" t="s">
        <v>80</v>
      </c>
      <c r="L7" s="40">
        <v>15600</v>
      </c>
      <c r="M7" s="40">
        <v>2</v>
      </c>
      <c r="N7" s="40">
        <f>-L7*M7</f>
        <v>-31200</v>
      </c>
      <c r="O7" s="40"/>
    </row>
    <row r="8" spans="1:15" ht="13" x14ac:dyDescent="0.3">
      <c r="A8" s="48">
        <v>5</v>
      </c>
      <c r="B8" s="51">
        <f>SUM(B75:B86)</f>
        <v>2621.3964762261453</v>
      </c>
      <c r="C8" s="51">
        <f>SUM(C75:C86)</f>
        <v>48235.218081215091</v>
      </c>
      <c r="D8" s="51">
        <f>D7-C8</f>
        <v>-1.2369127944111824E-9</v>
      </c>
      <c r="E8" s="49"/>
      <c r="F8" s="52">
        <f>SUM(B8,C8,E8)</f>
        <v>50856.614557441237</v>
      </c>
      <c r="K8" s="34" t="s">
        <v>91</v>
      </c>
      <c r="L8" s="33">
        <f>200000*0.05</f>
        <v>10000</v>
      </c>
      <c r="M8" s="33">
        <v>1</v>
      </c>
      <c r="N8" s="33">
        <f>-L8*M8</f>
        <v>-10000</v>
      </c>
      <c r="O8" s="33"/>
    </row>
    <row r="9" spans="1:15" ht="13" x14ac:dyDescent="0.3">
      <c r="A9" s="45"/>
      <c r="B9" s="46">
        <f>SUM(B3:B8)</f>
        <v>54283.07278720499</v>
      </c>
      <c r="C9" s="46">
        <f>SUM(C3:C8)</f>
        <v>200000.00000000122</v>
      </c>
      <c r="D9" s="31"/>
      <c r="E9" s="46"/>
      <c r="F9" s="47"/>
      <c r="K9" s="39"/>
      <c r="L9" s="40"/>
      <c r="M9" s="40"/>
      <c r="N9" s="40"/>
      <c r="O9" s="40"/>
    </row>
    <row r="10" spans="1:15" ht="13" x14ac:dyDescent="0.3">
      <c r="A10" s="48"/>
      <c r="B10" s="51">
        <f>SUM(B9:C9)</f>
        <v>254283.07278720621</v>
      </c>
      <c r="C10" s="51"/>
      <c r="D10" s="51"/>
      <c r="E10" s="49"/>
      <c r="F10" s="52"/>
      <c r="K10" s="60" t="s">
        <v>83</v>
      </c>
      <c r="L10" s="60"/>
      <c r="M10" s="60"/>
      <c r="N10" s="60"/>
      <c r="O10" s="60"/>
    </row>
    <row r="11" spans="1:15" ht="13" x14ac:dyDescent="0.3">
      <c r="A11" s="46"/>
      <c r="B11" s="46"/>
      <c r="C11" s="46"/>
      <c r="D11" s="46"/>
      <c r="E11" s="46"/>
      <c r="K11" s="39" t="s">
        <v>0</v>
      </c>
      <c r="L11" s="44" t="s">
        <v>1</v>
      </c>
      <c r="M11" s="44" t="s">
        <v>2</v>
      </c>
      <c r="N11" s="44" t="s">
        <v>47</v>
      </c>
      <c r="O11" s="44" t="s">
        <v>4</v>
      </c>
    </row>
    <row r="12" spans="1:15" ht="13" x14ac:dyDescent="0.3">
      <c r="A12" s="46"/>
      <c r="B12" s="46"/>
      <c r="C12" s="46"/>
      <c r="D12" s="46"/>
      <c r="E12" s="46"/>
      <c r="F12" s="11"/>
      <c r="K12" s="34" t="s">
        <v>49</v>
      </c>
      <c r="L12" s="33">
        <v>20</v>
      </c>
      <c r="M12" s="33">
        <f>_numsubs</f>
        <v>4227</v>
      </c>
      <c r="N12" s="33">
        <f>-L12*M12</f>
        <v>-84540</v>
      </c>
      <c r="O12" s="33" t="s">
        <v>50</v>
      </c>
    </row>
    <row r="13" spans="1:15" ht="14.5" x14ac:dyDescent="0.35">
      <c r="A13" s="46"/>
      <c r="B13" s="46"/>
      <c r="C13" s="46"/>
      <c r="D13" s="46"/>
      <c r="E13" s="46"/>
      <c r="F13" s="11"/>
      <c r="K13" s="39" t="s">
        <v>52</v>
      </c>
      <c r="L13" s="42">
        <f>_costSub</f>
        <v>31</v>
      </c>
      <c r="M13" s="40">
        <f>M12</f>
        <v>4227</v>
      </c>
      <c r="N13" s="40">
        <f>L13*M13</f>
        <v>131037</v>
      </c>
      <c r="O13" s="40" t="s">
        <v>53</v>
      </c>
    </row>
    <row r="14" spans="1:15" ht="13" x14ac:dyDescent="0.3">
      <c r="A14" s="46"/>
      <c r="B14" s="46"/>
      <c r="C14" s="46"/>
      <c r="D14" s="46"/>
      <c r="E14" s="46"/>
      <c r="F14" s="11"/>
      <c r="K14" s="34" t="s">
        <v>55</v>
      </c>
      <c r="L14" s="33">
        <v>1.53</v>
      </c>
      <c r="M14" s="33">
        <f>M13</f>
        <v>4227</v>
      </c>
      <c r="N14" s="33">
        <f>-L14*M14</f>
        <v>-6467.31</v>
      </c>
      <c r="O14" s="33" t="s">
        <v>109</v>
      </c>
    </row>
    <row r="15" spans="1:15" ht="13" x14ac:dyDescent="0.3">
      <c r="A15" s="46"/>
      <c r="B15" s="46"/>
      <c r="C15" s="46"/>
      <c r="D15" s="46"/>
      <c r="E15" s="46"/>
      <c r="F15" s="11"/>
      <c r="K15" s="39" t="s">
        <v>56</v>
      </c>
      <c r="L15" s="40">
        <f>2543/12</f>
        <v>211.91666666666666</v>
      </c>
      <c r="M15" s="40">
        <v>1</v>
      </c>
      <c r="N15" s="40">
        <f>-L15*M15</f>
        <v>-211.91666666666666</v>
      </c>
      <c r="O15" s="40"/>
    </row>
    <row r="16" spans="1:15" ht="13" x14ac:dyDescent="0.3">
      <c r="A16" s="46"/>
      <c r="B16" s="46"/>
      <c r="C16" s="46"/>
      <c r="D16" s="46"/>
      <c r="E16" s="46"/>
      <c r="F16" s="13"/>
      <c r="K16" s="34" t="s">
        <v>57</v>
      </c>
      <c r="L16" s="33">
        <v>1.3</v>
      </c>
      <c r="M16" s="33"/>
      <c r="N16" s="33"/>
      <c r="O16" s="33"/>
    </row>
    <row r="17" spans="1:15" x14ac:dyDescent="0.25">
      <c r="A17" s="11"/>
      <c r="B17" s="12"/>
      <c r="C17" s="12"/>
      <c r="D17" s="12"/>
      <c r="E17" s="11"/>
      <c r="F17" s="11"/>
    </row>
    <row r="18" spans="1:15" ht="13" x14ac:dyDescent="0.3">
      <c r="A18" s="11"/>
      <c r="B18" s="12"/>
      <c r="C18" s="12"/>
      <c r="D18" s="12"/>
      <c r="E18" s="11"/>
      <c r="F18" s="11"/>
      <c r="K18" s="60" t="s">
        <v>82</v>
      </c>
      <c r="L18" s="60"/>
      <c r="M18" s="60"/>
      <c r="N18" s="60"/>
      <c r="O18" s="60"/>
    </row>
    <row r="19" spans="1:15" ht="13" x14ac:dyDescent="0.3">
      <c r="K19" s="39" t="s">
        <v>79</v>
      </c>
      <c r="L19" s="40">
        <v>1000</v>
      </c>
      <c r="M19" s="40">
        <v>5</v>
      </c>
      <c r="N19" s="40">
        <f>M19*-L19</f>
        <v>-5000</v>
      </c>
      <c r="O19" s="40"/>
    </row>
    <row r="20" spans="1:15" ht="13" x14ac:dyDescent="0.3">
      <c r="K20" s="34" t="s">
        <v>60</v>
      </c>
      <c r="L20" s="33">
        <v>1700</v>
      </c>
      <c r="M20" s="33">
        <v>1</v>
      </c>
      <c r="N20" s="33">
        <f>-L20*M20</f>
        <v>-1700</v>
      </c>
      <c r="O20" s="33"/>
    </row>
    <row r="21" spans="1:15" x14ac:dyDescent="0.25">
      <c r="A21" s="15" t="s">
        <v>29</v>
      </c>
      <c r="B21" s="15">
        <v>0.12</v>
      </c>
      <c r="C21" s="16"/>
      <c r="D21" s="17" t="s">
        <v>30</v>
      </c>
      <c r="E21" s="18"/>
      <c r="F21" s="14"/>
    </row>
    <row r="22" spans="1:15" x14ac:dyDescent="0.25">
      <c r="A22" s="1" t="s">
        <v>31</v>
      </c>
      <c r="B22" s="1">
        <f>(1+B21)/1.015-1</f>
        <v>0.10344827586206917</v>
      </c>
      <c r="D22" s="6" t="s">
        <v>32</v>
      </c>
      <c r="E22" s="7"/>
      <c r="F22" s="14"/>
    </row>
    <row r="23" spans="1:15" ht="14.5" customHeight="1" x14ac:dyDescent="0.3">
      <c r="A23" s="1" t="s">
        <v>33</v>
      </c>
      <c r="B23" s="1">
        <f>(1+B22)^(1/12)-1</f>
        <v>8.2370789857535431E-3</v>
      </c>
      <c r="F23" s="14"/>
      <c r="K23" s="107" t="s">
        <v>113</v>
      </c>
      <c r="L23" s="107"/>
    </row>
    <row r="24" spans="1:15" ht="13" x14ac:dyDescent="0.3">
      <c r="A24" s="1" t="s">
        <v>34</v>
      </c>
      <c r="B24" s="1">
        <v>200000</v>
      </c>
      <c r="F24" s="14"/>
      <c r="K24" s="109" t="s">
        <v>45</v>
      </c>
      <c r="L24" s="110" t="s">
        <v>46</v>
      </c>
    </row>
    <row r="25" spans="1:15" ht="13" x14ac:dyDescent="0.3">
      <c r="A25" s="1" t="s">
        <v>35</v>
      </c>
      <c r="B25" s="1" t="s">
        <v>36</v>
      </c>
      <c r="C25" s="1" t="s">
        <v>37</v>
      </c>
      <c r="D25" s="1" t="s">
        <v>38</v>
      </c>
      <c r="E25" s="1" t="s">
        <v>39</v>
      </c>
      <c r="F25" s="14"/>
      <c r="K25" s="108" t="s">
        <v>48</v>
      </c>
      <c r="L25" s="12">
        <v>8</v>
      </c>
    </row>
    <row r="26" spans="1:15" ht="13" x14ac:dyDescent="0.3">
      <c r="A26" s="1">
        <v>0</v>
      </c>
      <c r="E26">
        <f>B24</f>
        <v>200000</v>
      </c>
      <c r="K26" s="109" t="s">
        <v>51</v>
      </c>
      <c r="L26" s="110">
        <v>1</v>
      </c>
    </row>
    <row r="27" spans="1:15" ht="13" x14ac:dyDescent="0.3">
      <c r="A27" s="1">
        <v>1</v>
      </c>
      <c r="B27">
        <f>E26*$B$23</f>
        <v>1647.4157971507086</v>
      </c>
      <c r="C27">
        <f>D27-B27</f>
        <v>2590.6354159693956</v>
      </c>
      <c r="D27" s="1">
        <f>$B$24*($B$23*($B$23+1)^$A$86)/((1+$B$23)^$A$86-1)</f>
        <v>4238.051213120104</v>
      </c>
      <c r="E27">
        <f>E26-C27</f>
        <v>197409.36458403061</v>
      </c>
      <c r="K27" s="108" t="s">
        <v>54</v>
      </c>
      <c r="L27" s="12">
        <v>10</v>
      </c>
    </row>
    <row r="28" spans="1:15" ht="13" x14ac:dyDescent="0.3">
      <c r="A28" s="1">
        <v>2</v>
      </c>
      <c r="B28">
        <f>E27*$B$23</f>
        <v>1626.0765286060782</v>
      </c>
      <c r="C28">
        <f>D28-B28</f>
        <v>2611.9746845140257</v>
      </c>
      <c r="D28" s="1">
        <f>$B$24*($B$23*($B$23+1)^$A$86)/((1+$B$23)^$A$86-1)</f>
        <v>4238.051213120104</v>
      </c>
      <c r="E28">
        <f>E27-C28</f>
        <v>194797.38989951659</v>
      </c>
      <c r="K28" s="109" t="s">
        <v>3</v>
      </c>
      <c r="L28" s="110">
        <f>SUM(L25:L27)</f>
        <v>19</v>
      </c>
    </row>
    <row r="29" spans="1:15" ht="13" x14ac:dyDescent="0.3">
      <c r="A29" s="1">
        <v>3</v>
      </c>
      <c r="B29">
        <f>E28*$B$23</f>
        <v>1604.5614868209477</v>
      </c>
      <c r="C29">
        <f>D29-B29</f>
        <v>2633.4897262991562</v>
      </c>
      <c r="D29" s="1">
        <f>$B$24*($B$23*($B$23+1)^$A$86)/((1+$B$23)^$A$86-1)</f>
        <v>4238.051213120104</v>
      </c>
      <c r="E29">
        <f>E28-C29</f>
        <v>192163.90017321744</v>
      </c>
      <c r="K29" s="108"/>
      <c r="L29" s="12"/>
    </row>
    <row r="30" spans="1:15" ht="13" x14ac:dyDescent="0.3">
      <c r="A30" s="1">
        <v>4</v>
      </c>
      <c r="B30">
        <f>E29*$B$23</f>
        <v>1582.869223937251</v>
      </c>
      <c r="C30">
        <f>D30-B30</f>
        <v>2655.1819891828527</v>
      </c>
      <c r="D30" s="1">
        <f>$B$24*($B$23*($B$23+1)^$A$86)/((1+$B$23)^$A$86-1)</f>
        <v>4238.051213120104</v>
      </c>
      <c r="E30">
        <f>E29-C30</f>
        <v>189508.71818403457</v>
      </c>
      <c r="K30" s="109" t="s">
        <v>58</v>
      </c>
      <c r="L30" s="110">
        <v>17</v>
      </c>
    </row>
    <row r="31" spans="1:15" ht="13" x14ac:dyDescent="0.3">
      <c r="A31" s="1">
        <v>5</v>
      </c>
      <c r="B31">
        <f>E30*$B$23</f>
        <v>1560.9982801708015</v>
      </c>
      <c r="C31">
        <f>D31-B31</f>
        <v>2677.0529329493024</v>
      </c>
      <c r="D31" s="1">
        <f>$B$24*($B$23*($B$23+1)^$A$86)/((1+$B$23)^$A$86-1)</f>
        <v>4238.051213120104</v>
      </c>
      <c r="E31">
        <f>E30-C31</f>
        <v>186831.66525108527</v>
      </c>
      <c r="K31" s="108" t="s">
        <v>59</v>
      </c>
      <c r="L31" s="12">
        <f>L30*L28</f>
        <v>323</v>
      </c>
    </row>
    <row r="32" spans="1:15" ht="13" x14ac:dyDescent="0.3">
      <c r="A32" s="1">
        <v>6</v>
      </c>
      <c r="B32">
        <f>E31*$B$23</f>
        <v>1538.947183713055</v>
      </c>
      <c r="C32">
        <f>D32-B32</f>
        <v>2699.104029407049</v>
      </c>
      <c r="D32" s="1">
        <f>$B$24*($B$23*($B$23+1)^$A$86)/((1+$B$23)^$A$86-1)</f>
        <v>4238.051213120104</v>
      </c>
      <c r="E32">
        <f>E31-C32</f>
        <v>184132.56122167822</v>
      </c>
      <c r="K32" s="109" t="s">
        <v>61</v>
      </c>
      <c r="L32" s="110">
        <v>5</v>
      </c>
    </row>
    <row r="33" spans="1:12" ht="13" x14ac:dyDescent="0.3">
      <c r="A33" s="1">
        <v>7</v>
      </c>
      <c r="B33">
        <f>E32*$B$23</f>
        <v>1516.7144506320633</v>
      </c>
      <c r="C33">
        <f>D33-B33</f>
        <v>2721.3367624880407</v>
      </c>
      <c r="D33" s="1">
        <f>$B$24*($B$23*($B$23+1)^$A$86)/((1+$B$23)^$A$86-1)</f>
        <v>4238.051213120104</v>
      </c>
      <c r="E33">
        <f>E32-C33</f>
        <v>181411.22445919018</v>
      </c>
      <c r="K33" s="108" t="s">
        <v>62</v>
      </c>
      <c r="L33" s="12">
        <f>L32*L31</f>
        <v>1615</v>
      </c>
    </row>
    <row r="34" spans="1:12" ht="13" x14ac:dyDescent="0.3">
      <c r="A34" s="1">
        <v>8</v>
      </c>
      <c r="B34">
        <f>E33*$B$23</f>
        <v>1494.2985847726147</v>
      </c>
      <c r="C34">
        <f>D34-B34</f>
        <v>2743.752628347489</v>
      </c>
      <c r="D34" s="1">
        <f>$B$24*($B$23*($B$23+1)^$A$86)/((1+$B$23)^$A$86-1)</f>
        <v>4238.051213120104</v>
      </c>
      <c r="E34">
        <f>E33-C34</f>
        <v>178667.4718308427</v>
      </c>
      <c r="K34" s="109" t="s">
        <v>63</v>
      </c>
      <c r="L34" s="110">
        <f>L33*4</f>
        <v>6460</v>
      </c>
    </row>
    <row r="35" spans="1:12" x14ac:dyDescent="0.25">
      <c r="A35" s="1">
        <v>9</v>
      </c>
      <c r="B35">
        <f>E34*$B$23</f>
        <v>1471.6980776555474</v>
      </c>
      <c r="C35">
        <f>D35-B35</f>
        <v>2766.3531354645565</v>
      </c>
      <c r="D35" s="1">
        <f>$B$24*($B$23*($B$23+1)^$A$86)/((1+$B$23)^$A$86-1)</f>
        <v>4238.051213120104</v>
      </c>
      <c r="E35">
        <f>E34-C35</f>
        <v>175901.11869537813</v>
      </c>
    </row>
    <row r="36" spans="1:12" x14ac:dyDescent="0.25">
      <c r="A36" s="1">
        <v>10</v>
      </c>
      <c r="B36">
        <f>E35*$B$23</f>
        <v>1448.9114083762388</v>
      </c>
      <c r="C36">
        <f>D36-B36</f>
        <v>2789.1398047438652</v>
      </c>
      <c r="D36" s="1">
        <f>$B$24*($B$23*($B$23+1)^$A$86)/((1+$B$23)^$A$86-1)</f>
        <v>4238.051213120104</v>
      </c>
      <c r="E36">
        <f>E35-C36</f>
        <v>173111.97889063426</v>
      </c>
    </row>
    <row r="37" spans="1:12" x14ac:dyDescent="0.25">
      <c r="A37" s="1">
        <v>11</v>
      </c>
      <c r="B37">
        <f>E36*$B$23</f>
        <v>1425.9370435022545</v>
      </c>
      <c r="C37">
        <f>D37-B37</f>
        <v>2812.1141696178493</v>
      </c>
      <c r="D37" s="1">
        <f>$B$24*($B$23*($B$23+1)^$A$86)/((1+$B$23)^$A$86-1)</f>
        <v>4238.051213120104</v>
      </c>
      <c r="E37">
        <f>E36-C37</f>
        <v>170299.86472101641</v>
      </c>
    </row>
    <row r="38" spans="1:12" x14ac:dyDescent="0.25">
      <c r="A38" s="1">
        <v>12</v>
      </c>
      <c r="B38">
        <f>E37*$B$23</f>
        <v>1402.7734369701554</v>
      </c>
      <c r="C38">
        <f>D38-B38</f>
        <v>2835.2777761499483</v>
      </c>
      <c r="D38" s="1">
        <f>$B$24*($B$23*($B$23+1)^$A$86)/((1+$B$23)^$A$86-1)</f>
        <v>4238.051213120104</v>
      </c>
      <c r="E38">
        <f>E37-C38</f>
        <v>167464.58694486646</v>
      </c>
    </row>
    <row r="39" spans="1:12" x14ac:dyDescent="0.25">
      <c r="A39" s="1">
        <v>13</v>
      </c>
      <c r="B39">
        <f>E38*$B$23</f>
        <v>1379.4190299814566</v>
      </c>
      <c r="C39">
        <f>D39-B39</f>
        <v>2858.6321831386476</v>
      </c>
      <c r="D39" s="1">
        <f>$B$24*($B$23*($B$23+1)^$A$86)/((1+$B$23)^$A$86-1)</f>
        <v>4238.051213120104</v>
      </c>
      <c r="E39">
        <f>E38-C39</f>
        <v>164605.9547617278</v>
      </c>
    </row>
    <row r="40" spans="1:12" x14ac:dyDescent="0.25">
      <c r="A40" s="1">
        <v>14</v>
      </c>
      <c r="B40">
        <f>E39*$B$23</f>
        <v>1355.8722508977264</v>
      </c>
      <c r="C40">
        <f>D40-B40</f>
        <v>2882.1789622223778</v>
      </c>
      <c r="D40" s="1">
        <f>$B$24*($B$23*($B$23+1)^$A$86)/((1+$B$23)^$A$86-1)</f>
        <v>4238.051213120104</v>
      </c>
      <c r="E40">
        <f>E39-C40</f>
        <v>161723.77579950541</v>
      </c>
    </row>
    <row r="41" spans="1:12" x14ac:dyDescent="0.25">
      <c r="A41" s="1">
        <v>15</v>
      </c>
      <c r="B41">
        <f>E40*$B$23</f>
        <v>1332.1315151348235</v>
      </c>
      <c r="C41">
        <f>D41-B41</f>
        <v>2905.9196979852804</v>
      </c>
      <c r="D41" s="1">
        <f>$B$24*($B$23*($B$23+1)^$A$86)/((1+$B$23)^$A$86-1)</f>
        <v>4238.051213120104</v>
      </c>
      <c r="E41">
        <f>E40-C41</f>
        <v>158817.85610152013</v>
      </c>
    </row>
    <row r="42" spans="1:12" x14ac:dyDescent="0.25">
      <c r="A42" s="1">
        <v>16</v>
      </c>
      <c r="B42">
        <f>E41*$B$23</f>
        <v>1308.1952250562615</v>
      </c>
      <c r="C42">
        <f>D42-B42</f>
        <v>2929.8559880638422</v>
      </c>
      <c r="D42" s="1">
        <f>$B$24*($B$23*($B$23+1)^$A$86)/((1+$B$23)^$A$86-1)</f>
        <v>4238.051213120104</v>
      </c>
      <c r="E42">
        <f>E41-C42</f>
        <v>155888.00011345628</v>
      </c>
    </row>
    <row r="43" spans="1:12" x14ac:dyDescent="0.25">
      <c r="A43" s="1">
        <v>17</v>
      </c>
      <c r="B43">
        <f>E42*$B$23</f>
        <v>1284.0617698656968</v>
      </c>
      <c r="C43">
        <f>D43-B43</f>
        <v>2953.989443254407</v>
      </c>
      <c r="D43" s="1">
        <f>$B$24*($B$23*($B$23+1)^$A$86)/((1+$B$23)^$A$86-1)</f>
        <v>4238.051213120104</v>
      </c>
      <c r="E43">
        <f>E42-C43</f>
        <v>152934.01067020188</v>
      </c>
    </row>
    <row r="44" spans="1:12" x14ac:dyDescent="0.25">
      <c r="A44" s="1">
        <v>18</v>
      </c>
      <c r="B44">
        <f>E43*$B$23</f>
        <v>1259.7295254985281</v>
      </c>
      <c r="C44">
        <f>D44-B44</f>
        <v>2978.3216876215756</v>
      </c>
      <c r="D44" s="1">
        <f>$B$24*($B$23*($B$23+1)^$A$86)/((1+$B$23)^$A$86-1)</f>
        <v>4238.051213120104</v>
      </c>
      <c r="E44">
        <f>E43-C44</f>
        <v>149955.68898258029</v>
      </c>
    </row>
    <row r="45" spans="1:12" x14ac:dyDescent="0.25">
      <c r="A45" s="1">
        <v>19</v>
      </c>
      <c r="B45">
        <f>E44*$B$23</f>
        <v>1235.1968545126063</v>
      </c>
      <c r="C45">
        <f>D45-B45</f>
        <v>3002.8543586074975</v>
      </c>
      <c r="D45" s="1">
        <f>$B$24*($B$23*($B$23+1)^$A$86)/((1+$B$23)^$A$86-1)</f>
        <v>4238.051213120104</v>
      </c>
      <c r="E45">
        <f>E44-C45</f>
        <v>146952.8346239728</v>
      </c>
    </row>
    <row r="46" spans="1:12" x14ac:dyDescent="0.25">
      <c r="A46" s="1">
        <v>20</v>
      </c>
      <c r="B46">
        <f>E45*$B$23</f>
        <v>1210.462105978042</v>
      </c>
      <c r="C46">
        <f>D46-B46</f>
        <v>3027.5891071420619</v>
      </c>
      <c r="D46" s="1">
        <f>$B$24*($B$23*($B$23+1)^$A$86)/((1+$B$23)^$A$86-1)</f>
        <v>4238.051213120104</v>
      </c>
      <c r="E46">
        <f>E45-C46</f>
        <v>143925.24551683074</v>
      </c>
    </row>
    <row r="47" spans="1:12" x14ac:dyDescent="0.25">
      <c r="A47" s="1">
        <v>21</v>
      </c>
      <c r="B47">
        <f>E46*$B$23</f>
        <v>1185.5236153661058</v>
      </c>
      <c r="C47">
        <f>D47-B47</f>
        <v>3052.5275977539982</v>
      </c>
      <c r="D47" s="1">
        <f>$B$24*($B$23*($B$23+1)^$A$86)/((1+$B$23)^$A$86-1)</f>
        <v>4238.051213120104</v>
      </c>
      <c r="E47">
        <f>E46-C47</f>
        <v>140872.71791907673</v>
      </c>
    </row>
    <row r="48" spans="1:12" x14ac:dyDescent="0.25">
      <c r="A48" s="1">
        <v>22</v>
      </c>
      <c r="B48">
        <f>E47*$B$23</f>
        <v>1160.3797044372136</v>
      </c>
      <c r="C48">
        <f>D48-B48</f>
        <v>3077.6715086828904</v>
      </c>
      <c r="D48" s="1">
        <f>$B$24*($B$23*($B$23+1)^$A$86)/((1+$B$23)^$A$86-1)</f>
        <v>4238.051213120104</v>
      </c>
      <c r="E48">
        <f>E47-C48</f>
        <v>137795.04641039384</v>
      </c>
    </row>
    <row r="49" spans="1:5" x14ac:dyDescent="0.25">
      <c r="A49" s="1">
        <v>23</v>
      </c>
      <c r="B49">
        <f>E48*$B$23</f>
        <v>1135.0286811279893</v>
      </c>
      <c r="C49">
        <f>D49-B49</f>
        <v>3103.0225319921146</v>
      </c>
      <c r="D49" s="1">
        <f>$B$24*($B$23*($B$23+1)^$A$86)/((1+$B$23)^$A$86-1)</f>
        <v>4238.051213120104</v>
      </c>
      <c r="E49">
        <f>E48-C49</f>
        <v>134692.02387840173</v>
      </c>
    </row>
    <row r="50" spans="1:5" x14ac:dyDescent="0.25">
      <c r="A50" s="1">
        <v>24</v>
      </c>
      <c r="B50">
        <f>E49*$B$23</f>
        <v>1109.4688394373973</v>
      </c>
      <c r="C50">
        <f>D50-B50</f>
        <v>3128.5823736827069</v>
      </c>
      <c r="D50" s="1">
        <f>$B$24*($B$23*($B$23+1)^$A$86)/((1+$B$23)^$A$86-1)</f>
        <v>4238.051213120104</v>
      </c>
      <c r="E50">
        <f>E49-C50</f>
        <v>131563.44150471903</v>
      </c>
    </row>
    <row r="51" spans="1:5" x14ac:dyDescent="0.25">
      <c r="A51" s="1">
        <v>25</v>
      </c>
      <c r="B51">
        <f>E50*$B$23</f>
        <v>1083.6984593119366</v>
      </c>
      <c r="C51">
        <f>D51-B51</f>
        <v>3154.3527538081671</v>
      </c>
      <c r="D51" s="1">
        <f>$B$24*($B$23*($B$23+1)^$A$86)/((1+$B$23)^$A$86-1)</f>
        <v>4238.051213120104</v>
      </c>
      <c r="E51">
        <f>E50-C51</f>
        <v>128409.08875091086</v>
      </c>
    </row>
    <row r="52" spans="1:5" x14ac:dyDescent="0.25">
      <c r="A52" s="1">
        <v>26</v>
      </c>
      <c r="B52">
        <f>E51*$B$23</f>
        <v>1057.7158065298895</v>
      </c>
      <c r="C52">
        <f>D52-B52</f>
        <v>3180.3354065902145</v>
      </c>
      <c r="D52" s="1">
        <f>$B$24*($B$23*($B$23+1)^$A$86)/((1+$B$23)^$A$86-1)</f>
        <v>4238.051213120104</v>
      </c>
      <c r="E52">
        <f>E51-C52</f>
        <v>125228.75334432065</v>
      </c>
    </row>
    <row r="53" spans="1:5" x14ac:dyDescent="0.25">
      <c r="A53" s="1">
        <v>27</v>
      </c>
      <c r="B53">
        <f>E52*$B$23</f>
        <v>1031.5191325846174</v>
      </c>
      <c r="C53">
        <f>D53-B53</f>
        <v>3206.5320805354868</v>
      </c>
      <c r="D53" s="1">
        <f>$B$24*($B$23*($B$23+1)^$A$86)/((1+$B$23)^$A$86-1)</f>
        <v>4238.051213120104</v>
      </c>
      <c r="E53">
        <f>E52-C53</f>
        <v>122022.22126378516</v>
      </c>
    </row>
    <row r="54" spans="1:5" x14ac:dyDescent="0.25">
      <c r="A54" s="1">
        <v>28</v>
      </c>
      <c r="B54">
        <f>E53*$B$23</f>
        <v>1005.106674566894</v>
      </c>
      <c r="C54">
        <f>D54-B54</f>
        <v>3232.9445385532099</v>
      </c>
      <c r="D54" s="1">
        <f>$B$24*($B$23*($B$23+1)^$A$86)/((1+$B$23)^$A$86-1)</f>
        <v>4238.051213120104</v>
      </c>
      <c r="E54">
        <f>E53-C54</f>
        <v>118789.27672523195</v>
      </c>
    </row>
    <row r="55" spans="1:5" x14ac:dyDescent="0.25">
      <c r="A55" s="1">
        <v>29</v>
      </c>
      <c r="B55">
        <f>E54*$B$23</f>
        <v>978.47665504627048</v>
      </c>
      <c r="C55">
        <f>D55-B55</f>
        <v>3259.5745580738335</v>
      </c>
      <c r="D55" s="1">
        <f>$B$24*($B$23*($B$23+1)^$A$86)/((1+$B$23)^$A$86-1)</f>
        <v>4238.051213120104</v>
      </c>
      <c r="E55">
        <f>E54-C55</f>
        <v>115529.70216715812</v>
      </c>
    </row>
    <row r="56" spans="1:5" x14ac:dyDescent="0.25">
      <c r="A56" s="1">
        <v>30</v>
      </c>
      <c r="B56">
        <f>E55*$B$23</f>
        <v>951.62728195146371</v>
      </c>
      <c r="C56">
        <f>D56-B56</f>
        <v>3286.4239311686401</v>
      </c>
      <c r="D56" s="1">
        <f>$B$24*($B$23*($B$23+1)^$A$86)/((1+$B$23)^$A$86-1)</f>
        <v>4238.051213120104</v>
      </c>
      <c r="E56">
        <f>E55-C56</f>
        <v>112243.27823598948</v>
      </c>
    </row>
    <row r="57" spans="1:5" x14ac:dyDescent="0.25">
      <c r="A57" s="1">
        <v>31</v>
      </c>
      <c r="B57">
        <f>E56*$B$23</f>
        <v>924.55674844975692</v>
      </c>
      <c r="C57">
        <f>D57-B57</f>
        <v>3313.494464670347</v>
      </c>
      <c r="D57" s="1">
        <f>$B$24*($B$23*($B$23+1)^$A$86)/((1+$B$23)^$A$86-1)</f>
        <v>4238.051213120104</v>
      </c>
      <c r="E57">
        <f>E56-C57</f>
        <v>108929.78377131913</v>
      </c>
    </row>
    <row r="58" spans="1:5" x14ac:dyDescent="0.25">
      <c r="A58" s="1">
        <v>32</v>
      </c>
      <c r="B58">
        <f>E57*$B$23</f>
        <v>897.26323282541011</v>
      </c>
      <c r="C58">
        <f>D58-B58</f>
        <v>3340.7879802946936</v>
      </c>
      <c r="D58" s="1">
        <f>$B$24*($B$23*($B$23+1)^$A$86)/((1+$B$23)^$A$86-1)</f>
        <v>4238.051213120104</v>
      </c>
      <c r="E58">
        <f>E57-C58</f>
        <v>105588.99579102443</v>
      </c>
    </row>
    <row r="59" spans="1:5" x14ac:dyDescent="0.25">
      <c r="A59" s="1">
        <v>33</v>
      </c>
      <c r="B59">
        <f>E58*$B$23</f>
        <v>869.74489835706663</v>
      </c>
      <c r="C59">
        <f>D59-B59</f>
        <v>3368.3063147630373</v>
      </c>
      <c r="D59" s="1">
        <f>$B$24*($B$23*($B$23+1)^$A$86)/((1+$B$23)^$A$86-1)</f>
        <v>4238.051213120104</v>
      </c>
      <c r="E59">
        <f>E58-C59</f>
        <v>102220.6894762614</v>
      </c>
    </row>
    <row r="60" spans="1:5" x14ac:dyDescent="0.25">
      <c r="A60" s="1">
        <v>34</v>
      </c>
      <c r="B60">
        <f>E59*$B$23</f>
        <v>841.99989319415113</v>
      </c>
      <c r="C60">
        <f>D60-B60</f>
        <v>3396.0513199259531</v>
      </c>
      <c r="D60" s="1">
        <f>$B$24*($B$23*($B$23+1)^$A$86)/((1+$B$23)^$A$86-1)</f>
        <v>4238.051213120104</v>
      </c>
      <c r="E60">
        <f>E59-C60</f>
        <v>98824.638156335437</v>
      </c>
    </row>
    <row r="61" spans="1:5" x14ac:dyDescent="0.25">
      <c r="A61" s="1">
        <v>35</v>
      </c>
      <c r="B61">
        <f>E60*$B$23</f>
        <v>814.02635023224843</v>
      </c>
      <c r="C61">
        <f>D61-B61</f>
        <v>3424.0248628878553</v>
      </c>
      <c r="D61" s="1">
        <f>$B$24*($B$23*($B$23+1)^$A$86)/((1+$B$23)^$A$86-1)</f>
        <v>4238.051213120104</v>
      </c>
      <c r="E61">
        <f>E60-C61</f>
        <v>95400.613293447575</v>
      </c>
    </row>
    <row r="62" spans="1:5" x14ac:dyDescent="0.25">
      <c r="A62" s="1">
        <v>36</v>
      </c>
      <c r="B62">
        <f>E61*$B$23</f>
        <v>785.82238698745709</v>
      </c>
      <c r="C62">
        <f>D62-B62</f>
        <v>3452.2288261326466</v>
      </c>
      <c r="D62" s="1">
        <f>$B$24*($B$23*($B$23+1)^$A$86)/((1+$B$23)^$A$86-1)</f>
        <v>4238.051213120104</v>
      </c>
      <c r="E62">
        <f>E61-C62</f>
        <v>91948.384467314929</v>
      </c>
    </row>
    <row r="63" spans="1:5" x14ac:dyDescent="0.25">
      <c r="A63" s="1">
        <v>37</v>
      </c>
      <c r="B63">
        <f>E62*$B$23</f>
        <v>757.38610546970733</v>
      </c>
      <c r="C63">
        <f>D63-B63</f>
        <v>3480.6651076503967</v>
      </c>
      <c r="D63" s="1">
        <f>$B$24*($B$23*($B$23+1)^$A$86)/((1+$B$23)^$A$86-1)</f>
        <v>4238.051213120104</v>
      </c>
      <c r="E63">
        <f>E62-C63</f>
        <v>88467.719359664537</v>
      </c>
    </row>
    <row r="64" spans="1:5" x14ac:dyDescent="0.25">
      <c r="A64" s="1">
        <v>38</v>
      </c>
      <c r="B64">
        <f>E63*$B$23</f>
        <v>728.71559205503468</v>
      </c>
      <c r="C64">
        <f>D64-B64</f>
        <v>3509.3356210650691</v>
      </c>
      <c r="D64" s="1">
        <f>$B$24*($B$23*($B$23+1)^$A$86)/((1+$B$23)^$A$86-1)</f>
        <v>4238.051213120104</v>
      </c>
      <c r="E64">
        <f>E63-C64</f>
        <v>84958.38373859947</v>
      </c>
    </row>
    <row r="65" spans="1:5" x14ac:dyDescent="0.25">
      <c r="A65" s="1">
        <v>39</v>
      </c>
      <c r="B65">
        <f>E64*$B$23</f>
        <v>699.80891735680325</v>
      </c>
      <c r="C65">
        <f>D65-B65</f>
        <v>3538.2422957633007</v>
      </c>
      <c r="D65" s="1">
        <f>$B$24*($B$23*($B$23+1)^$A$86)/((1+$B$23)^$A$86-1)</f>
        <v>4238.051213120104</v>
      </c>
      <c r="E65">
        <f>E64-C65</f>
        <v>81420.141442836175</v>
      </c>
    </row>
    <row r="66" spans="1:5" x14ac:dyDescent="0.25">
      <c r="A66" s="1">
        <v>40</v>
      </c>
      <c r="B66">
        <f>E65*$B$23</f>
        <v>670.66413609586698</v>
      </c>
      <c r="C66">
        <f>D66-B66</f>
        <v>3567.387077024237</v>
      </c>
      <c r="D66" s="1">
        <f>$B$24*($B$23*($B$23+1)^$A$86)/((1+$B$23)^$A$86-1)</f>
        <v>4238.051213120104</v>
      </c>
      <c r="E66">
        <f>E65-C66</f>
        <v>77852.754365811939</v>
      </c>
    </row>
    <row r="67" spans="1:5" x14ac:dyDescent="0.25">
      <c r="A67" s="1">
        <v>41</v>
      </c>
      <c r="B67">
        <f>E66*$B$23</f>
        <v>641.27928696966194</v>
      </c>
      <c r="C67">
        <f>D67-B67</f>
        <v>3596.7719261504421</v>
      </c>
      <c r="D67" s="1">
        <f>$B$24*($B$23*($B$23+1)^$A$86)/((1+$B$23)^$A$86-1)</f>
        <v>4238.051213120104</v>
      </c>
      <c r="E67">
        <f>E66-C67</f>
        <v>74255.9824396615</v>
      </c>
    </row>
    <row r="68" spans="1:5" x14ac:dyDescent="0.25">
      <c r="A68" s="1">
        <v>42</v>
      </c>
      <c r="B68">
        <f>E67*$B$23</f>
        <v>611.65239252021991</v>
      </c>
      <c r="C68">
        <f>D68-B68</f>
        <v>3626.3988205998839</v>
      </c>
      <c r="D68" s="1">
        <f>$B$24*($B$23*($B$23+1)^$A$86)/((1+$B$23)^$A$86-1)</f>
        <v>4238.051213120104</v>
      </c>
      <c r="E68">
        <f>E67-C68</f>
        <v>70629.58361906161</v>
      </c>
    </row>
    <row r="69" spans="1:5" x14ac:dyDescent="0.25">
      <c r="A69" s="1">
        <v>43</v>
      </c>
      <c r="B69">
        <f>E68*$B$23</f>
        <v>581.78145900109507</v>
      </c>
      <c r="C69">
        <f>D69-B69</f>
        <v>3656.2697541190091</v>
      </c>
      <c r="D69" s="1">
        <f>$B$24*($B$23*($B$23+1)^$A$86)/((1+$B$23)^$A$86-1)</f>
        <v>4238.051213120104</v>
      </c>
      <c r="E69">
        <f>E68-C69</f>
        <v>66973.313864942596</v>
      </c>
    </row>
    <row r="70" spans="1:5" x14ac:dyDescent="0.25">
      <c r="A70" s="1">
        <v>44</v>
      </c>
      <c r="B70">
        <f>E69*$B$23</f>
        <v>551.66447624319505</v>
      </c>
      <c r="C70">
        <f>D70-B70</f>
        <v>3686.3867368769088</v>
      </c>
      <c r="D70" s="1">
        <f>$B$24*($B$23*($B$23+1)^$A$86)/((1+$B$23)^$A$86-1)</f>
        <v>4238.051213120104</v>
      </c>
      <c r="E70">
        <f>E69-C70</f>
        <v>63286.92712806569</v>
      </c>
    </row>
    <row r="71" spans="1:5" x14ac:dyDescent="0.25">
      <c r="A71" s="1">
        <v>45</v>
      </c>
      <c r="B71">
        <f>E70*$B$23</f>
        <v>521.29941751950571</v>
      </c>
      <c r="C71">
        <f>D71-B71</f>
        <v>3716.7517956005981</v>
      </c>
      <c r="D71" s="1">
        <f>$B$24*($B$23*($B$23+1)^$A$86)/((1+$B$23)^$A$86-1)</f>
        <v>4238.051213120104</v>
      </c>
      <c r="E71">
        <f>E70-C71</f>
        <v>59570.175332465093</v>
      </c>
    </row>
    <row r="72" spans="1:5" x14ac:dyDescent="0.25">
      <c r="A72" s="1">
        <v>46</v>
      </c>
      <c r="B72">
        <f>E71*$B$23</f>
        <v>490.6842394087023</v>
      </c>
      <c r="C72">
        <f>D72-B72</f>
        <v>3747.3669737114014</v>
      </c>
      <c r="D72" s="1">
        <f>$B$24*($B$23*($B$23+1)^$A$86)/((1+$B$23)^$A$86-1)</f>
        <v>4238.051213120104</v>
      </c>
      <c r="E72">
        <f>E71-C72</f>
        <v>55822.808358753689</v>
      </c>
    </row>
    <row r="73" spans="1:5" x14ac:dyDescent="0.25">
      <c r="A73" s="1">
        <v>47</v>
      </c>
      <c r="B73">
        <f>E72*$B$23</f>
        <v>459.81688165763723</v>
      </c>
      <c r="C73">
        <f>D73-B73</f>
        <v>3778.2343314624668</v>
      </c>
      <c r="D73" s="1">
        <f>$B$24*($B$23*($B$23+1)^$A$86)/((1+$B$23)^$A$86-1)</f>
        <v>4238.051213120104</v>
      </c>
      <c r="E73">
        <f>E72-C73</f>
        <v>52044.574027291223</v>
      </c>
    </row>
    <row r="74" spans="1:5" x14ac:dyDescent="0.25">
      <c r="A74" s="1">
        <v>48</v>
      </c>
      <c r="B74">
        <f>E73*$B$23</f>
        <v>428.69526704269515</v>
      </c>
      <c r="C74">
        <f>D74-B74</f>
        <v>3809.3559460774086</v>
      </c>
      <c r="D74" s="1">
        <f>$B$24*($B$23*($B$23+1)^$A$86)/((1+$B$23)^$A$86-1)</f>
        <v>4238.051213120104</v>
      </c>
      <c r="E74">
        <f>E73-C74</f>
        <v>48235.21808121381</v>
      </c>
    </row>
    <row r="75" spans="1:5" x14ac:dyDescent="0.25">
      <c r="A75" s="1">
        <v>49</v>
      </c>
      <c r="B75">
        <f>E74*$B$23</f>
        <v>397.31730123000563</v>
      </c>
      <c r="C75">
        <f>D75-B75</f>
        <v>3840.7339118900982</v>
      </c>
      <c r="D75" s="1">
        <f>$B$24*($B$23*($B$23+1)^$A$86)/((1+$B$23)^$A$86-1)</f>
        <v>4238.051213120104</v>
      </c>
      <c r="E75">
        <f>E74-C75</f>
        <v>44394.48416932371</v>
      </c>
    </row>
    <row r="76" spans="1:5" x14ac:dyDescent="0.25">
      <c r="A76" s="1">
        <v>50</v>
      </c>
      <c r="B76">
        <f>E75*$B$23</f>
        <v>365.68087263450468</v>
      </c>
      <c r="C76">
        <f>D76-B76</f>
        <v>3872.3703404855992</v>
      </c>
      <c r="D76" s="1">
        <f>$B$24*($B$23*($B$23+1)^$A$86)/((1+$B$23)^$A$86-1)</f>
        <v>4238.051213120104</v>
      </c>
      <c r="E76">
        <f>E75-C76</f>
        <v>40522.113828838112</v>
      </c>
    </row>
    <row r="77" spans="1:5" x14ac:dyDescent="0.25">
      <c r="A77" s="1">
        <v>51</v>
      </c>
      <c r="B77">
        <f>E76*$B$23</f>
        <v>333.78385227783548</v>
      </c>
      <c r="C77">
        <f>D77-B77</f>
        <v>3904.2673608422683</v>
      </c>
      <c r="D77" s="1">
        <f>$B$24*($B$23*($B$23+1)^$A$86)/((1+$B$23)^$A$86-1)</f>
        <v>4238.051213120104</v>
      </c>
      <c r="E77">
        <f>E76-C77</f>
        <v>36617.846467995842</v>
      </c>
    </row>
    <row r="78" spans="1:5" x14ac:dyDescent="0.25">
      <c r="A78" s="1">
        <v>52</v>
      </c>
      <c r="B78">
        <f>E77*$B$23</f>
        <v>301.62409364507818</v>
      </c>
      <c r="C78">
        <f>D78-B78</f>
        <v>3936.4271194750258</v>
      </c>
      <c r="D78" s="1">
        <f>$B$24*($B$23*($B$23+1)^$A$86)/((1+$B$23)^$A$86-1)</f>
        <v>4238.051213120104</v>
      </c>
      <c r="E78">
        <f>E77-C78</f>
        <v>32681.419348520816</v>
      </c>
    </row>
    <row r="79" spans="1:5" x14ac:dyDescent="0.25">
      <c r="A79" s="1">
        <v>53</v>
      </c>
      <c r="B79">
        <f>E78*$B$23</f>
        <v>269.19943254030005</v>
      </c>
      <c r="C79">
        <f>D79-B79</f>
        <v>3968.8517805798037</v>
      </c>
      <c r="D79" s="1">
        <f>$B$24*($B$23*($B$23+1)^$A$86)/((1+$B$23)^$A$86-1)</f>
        <v>4238.051213120104</v>
      </c>
      <c r="E79">
        <f>E78-C79</f>
        <v>28712.567567941012</v>
      </c>
    </row>
    <row r="80" spans="1:5" x14ac:dyDescent="0.25">
      <c r="A80" s="1">
        <v>54</v>
      </c>
      <c r="B80">
        <f>E79*$B$23</f>
        <v>236.50768694091562</v>
      </c>
      <c r="C80">
        <f>D80-B80</f>
        <v>4001.5435261791881</v>
      </c>
      <c r="D80" s="1">
        <f>$B$24*($B$23*($B$23+1)^$A$86)/((1+$B$23)^$A$86-1)</f>
        <v>4238.051213120104</v>
      </c>
      <c r="E80">
        <f>E79-C80</f>
        <v>24711.024041761826</v>
      </c>
    </row>
    <row r="81" spans="1:5" x14ac:dyDescent="0.25">
      <c r="A81" s="1">
        <v>55</v>
      </c>
      <c r="B81">
        <f>E80*$B$23</f>
        <v>203.54665685084692</v>
      </c>
      <c r="C81">
        <f>D81-B81</f>
        <v>4034.5045562692571</v>
      </c>
      <c r="D81" s="1">
        <f>$B$24*($B$23*($B$23+1)^$A$86)/((1+$B$23)^$A$86-1)</f>
        <v>4238.051213120104</v>
      </c>
      <c r="E81">
        <f>E80-C81</f>
        <v>20676.519485492568</v>
      </c>
    </row>
    <row r="82" spans="1:5" x14ac:dyDescent="0.25">
      <c r="A82" s="1">
        <v>56</v>
      </c>
      <c r="B82">
        <f>E81*$B$23</f>
        <v>170.31412415247451</v>
      </c>
      <c r="C82">
        <f>D82-B82</f>
        <v>4067.7370889676295</v>
      </c>
      <c r="D82" s="1">
        <f>$B$24*($B$23*($B$23+1)^$A$86)/((1+$B$23)^$A$86-1)</f>
        <v>4238.051213120104</v>
      </c>
      <c r="E82">
        <f>E81-C82</f>
        <v>16608.782396524941</v>
      </c>
    </row>
    <row r="83" spans="1:5" x14ac:dyDescent="0.25">
      <c r="A83" s="1">
        <v>57</v>
      </c>
      <c r="B83">
        <f>E82*$B$23</f>
        <v>136.80785245736897</v>
      </c>
      <c r="C83">
        <f>D83-B83</f>
        <v>4101.2433606627346</v>
      </c>
      <c r="D83" s="1">
        <f>$B$24*($B$23*($B$23+1)^$A$86)/((1+$B$23)^$A$86-1)</f>
        <v>4238.051213120104</v>
      </c>
      <c r="E83">
        <f>E82-C83</f>
        <v>12507.539035862206</v>
      </c>
    </row>
    <row r="84" spans="1:5" x14ac:dyDescent="0.25">
      <c r="A84" s="1">
        <v>58</v>
      </c>
      <c r="B84">
        <f>E83*$B$23</f>
        <v>103.0255869557927</v>
      </c>
      <c r="C84">
        <f>D84-B84</f>
        <v>4135.0256261643117</v>
      </c>
      <c r="D84" s="1">
        <f>$B$24*($B$23*($B$23+1)^$A$86)/((1+$B$23)^$A$86-1)</f>
        <v>4238.051213120104</v>
      </c>
      <c r="E84">
        <f>E83-C84</f>
        <v>8372.5134096978945</v>
      </c>
    </row>
    <row r="85" spans="1:5" x14ac:dyDescent="0.25">
      <c r="A85" s="1">
        <v>59</v>
      </c>
      <c r="B85">
        <f>E84*$B$23</f>
        <v>68.965054264962276</v>
      </c>
      <c r="C85">
        <f>D85-B85</f>
        <v>4169.0861588551415</v>
      </c>
      <c r="D85" s="1">
        <f>$B$24*($B$23*($B$23+1)^$A$86)/((1+$B$23)^$A$86-1)</f>
        <v>4238.051213120104</v>
      </c>
      <c r="E85">
        <f>E84-C85</f>
        <v>4203.427250842753</v>
      </c>
    </row>
    <row r="86" spans="1:5" x14ac:dyDescent="0.25">
      <c r="A86" s="1">
        <v>60</v>
      </c>
      <c r="B86">
        <f>E85*$B$23</f>
        <v>34.623962276060631</v>
      </c>
      <c r="C86">
        <f>D86-B86</f>
        <v>4203.4272508440436</v>
      </c>
      <c r="D86" s="1">
        <f>$B$24*($B$23*($B$23+1)^$A$86)/((1+$B$23)^$A$86-1)</f>
        <v>4238.051213120104</v>
      </c>
      <c r="E86">
        <f>E85-C86</f>
        <v>-1.2905729818157852E-9</v>
      </c>
    </row>
    <row r="88" spans="1:5" x14ac:dyDescent="0.25">
      <c r="B88">
        <f>SUM(B26:B86)</f>
        <v>54283.072787204997</v>
      </c>
      <c r="C88">
        <f>SUM(C26:C87)</f>
        <v>200000.00000000131</v>
      </c>
    </row>
    <row r="89" spans="1:5" x14ac:dyDescent="0.25">
      <c r="A89" s="1" t="s">
        <v>64</v>
      </c>
      <c r="B89">
        <f>SUM(B88:C88)</f>
        <v>254283.0727872063</v>
      </c>
    </row>
  </sheetData>
  <mergeCells count="5">
    <mergeCell ref="A1:F1"/>
    <mergeCell ref="K1:O1"/>
    <mergeCell ref="K18:O18"/>
    <mergeCell ref="K10:O10"/>
    <mergeCell ref="K23:L2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Initial Variables</vt:lpstr>
      <vt:lpstr>CashFlow &amp; MARR</vt:lpstr>
      <vt:lpstr>Extra Calcs</vt:lpstr>
      <vt:lpstr>_costSub</vt:lpstr>
      <vt:lpstr>_LTD</vt:lpstr>
      <vt:lpstr>_numsubs</vt:lpstr>
      <vt:lpstr>_rate_of_growt</vt:lpstr>
      <vt:lpstr>_rate_of_growth</vt:lpstr>
      <vt:lpstr>_salePrice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 Cheung</dc:creator>
  <cp:lastModifiedBy>NgaiTo Lo</cp:lastModifiedBy>
  <dcterms:created xsi:type="dcterms:W3CDTF">2019-03-29T00:02:44Z</dcterms:created>
  <dcterms:modified xsi:type="dcterms:W3CDTF">2019-04-03T21:19:21Z</dcterms:modified>
</cp:coreProperties>
</file>